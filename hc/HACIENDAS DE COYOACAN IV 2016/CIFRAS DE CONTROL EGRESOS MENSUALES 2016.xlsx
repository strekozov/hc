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60" windowWidth="20115" windowHeight="6945"/>
  </bookViews>
  <sheets>
    <sheet name="CIBRAS DE CONTROL 2016" sheetId="5" r:id="rId1"/>
  </sheets>
  <definedNames>
    <definedName name="_xlnm.Print_Area" localSheetId="0">'CIBRAS DE CONTROL 2016'!$M$5:$O$99</definedName>
    <definedName name="_xlnm.Print_Titles" localSheetId="0">'CIBRAS DE CONTROL 2016'!$1:$4</definedName>
  </definedNames>
  <calcPr calcId="144525"/>
</workbook>
</file>

<file path=xl/calcChain.xml><?xml version="1.0" encoding="utf-8"?>
<calcChain xmlns="http://schemas.openxmlformats.org/spreadsheetml/2006/main">
  <c r="AI3" i="5" l="1"/>
  <c r="Z3" i="5" l="1"/>
  <c r="W3" i="5" l="1"/>
  <c r="Q3" i="5" l="1"/>
  <c r="A3" i="5" l="1"/>
  <c r="K3" i="5" l="1"/>
  <c r="AF3" i="5" l="1"/>
  <c r="AH3" i="5" l="1"/>
  <c r="AE3" i="5"/>
  <c r="AC3" i="5"/>
  <c r="AB3" i="5"/>
  <c r="Y3" i="5"/>
  <c r="V3" i="5"/>
  <c r="T3" i="5" l="1"/>
  <c r="S3" i="5"/>
  <c r="J3" i="5" l="1"/>
  <c r="P3" i="5"/>
  <c r="N3" i="5"/>
  <c r="M3" i="5"/>
  <c r="B3" i="5" l="1"/>
  <c r="D3" i="5"/>
  <c r="E3" i="5"/>
  <c r="G3" i="5"/>
  <c r="H3" i="5"/>
</calcChain>
</file>

<file path=xl/sharedStrings.xml><?xml version="1.0" encoding="utf-8"?>
<sst xmlns="http://schemas.openxmlformats.org/spreadsheetml/2006/main" count="1425" uniqueCount="1207">
  <si>
    <t>Importe</t>
  </si>
  <si>
    <t>enero</t>
  </si>
  <si>
    <t>Fecha</t>
  </si>
  <si>
    <t>CONTROL DE GASTOS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</si>
  <si>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</si>
  <si>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</si>
  <si>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</si>
  <si>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</si>
  <si>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</si>
  <si>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</si>
  <si>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</si>
  <si>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</si>
  <si>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</si>
  <si>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</si>
  <si>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</si>
  <si>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JULIO</t>
  </si>
  <si>
    <t>CIFRAS DE CONTROL DEL 2016</t>
  </si>
  <si>
    <t>Gloria Mazzón, pago por captura de datos</t>
  </si>
  <si>
    <t>Ing. Jorge Luis Vázquez, compra de conectores para DVR y tranceptores</t>
  </si>
  <si>
    <t>Ing. Jorge Luis Vázquez, pago de mano de obra de DVR</t>
  </si>
  <si>
    <t>Cadena Comercial Oxxo, S.A. de C.V., compra de agua y refrescos MD</t>
  </si>
  <si>
    <t>Electropura, S. de R.L. de C.V., compra de 3 garrafones</t>
  </si>
  <si>
    <t>Ing. Jorge Luis Vázquez, pago de 2 respaldos de video con USB de 8GB</t>
  </si>
  <si>
    <t xml:space="preserve">Advanced Servicio CCTV y Cómputo, compra de 1 perfil de aluminio de 3/4 </t>
  </si>
  <si>
    <t xml:space="preserve">Nueva Walmart de México, S. de R.L. de C.V. compra de rosca de reyes </t>
  </si>
  <si>
    <t>Estacionamiento Cuemanco, compra de rosca de reyes</t>
  </si>
  <si>
    <t>Advanced Servicio CCTV y Cómputo, reparción de pluma vehicular en entrada</t>
  </si>
  <si>
    <t>Advanced Servicio CCTV y Cómputo, compra de equipo de computo</t>
  </si>
  <si>
    <t>José Manuel Olivares, compra de una bicicleta para vigilancia</t>
  </si>
  <si>
    <t>Advanced Servicio CCTV y Cómputo, reconfiguración de baja de tarjetas</t>
  </si>
  <si>
    <t>Tradición de Pastelerías, S.A. de C.V., junta de Mesa Directiva</t>
  </si>
  <si>
    <t>Ing. Jorge Luis Vázquez, pago de duplicado de llaves para puerta Zinampa</t>
  </si>
  <si>
    <t>Gustavo Gil, reparación de alumbrado de la calle de Upacuaro</t>
  </si>
  <si>
    <t>Gustavo Gil, reparación de alumbrado de la calle de Recoveco</t>
  </si>
  <si>
    <t>Gustavo Gil, servicio de observación del problema de UP y ZB en luminarias</t>
  </si>
  <si>
    <t>Oficial Héctor Burgos, por revisión de entrada de un camper al fraccionamiento</t>
  </si>
  <si>
    <t>Luis Hernández , reparación de chapa entrada peatonal de Recoveco</t>
  </si>
  <si>
    <t>Electropura, S. de R.L. de C.V., compra de 4 garrafones de agua</t>
  </si>
  <si>
    <t>Telefonos de México, SAB de C.V. pago el mes de diciembre/15</t>
  </si>
  <si>
    <t>SAT Servicio de Administración Tributaría, pago mes de enero/16</t>
  </si>
  <si>
    <t>Siegrist Contadores Publicos, pago de honorarios mes de enero/16 y a/c anual</t>
  </si>
  <si>
    <t>Tienda, compra de agua y refresco mesa directiva</t>
  </si>
  <si>
    <t>Estacionamiento, visita al contador Siegrist</t>
  </si>
  <si>
    <t>Servicio Robledo, S.A. de C.V. compra de gasolina para mesa directiva</t>
  </si>
  <si>
    <t>Roberto Miranda, pago por parrer todo el fraccionamiento 1° quincena enero/16</t>
  </si>
  <si>
    <t>Artemio Mora Torres, pago 1° quincena del mes de enero/16</t>
  </si>
  <si>
    <t>Guaradia y Custodias Gama, pago 1° quincena del mes de enero/16</t>
  </si>
  <si>
    <t>Grisela Peralta Portugal, pago 1° quincena del mes de enero/16</t>
  </si>
  <si>
    <t>Ernesto Monrroy, reparación de la luz de UP, temporal ya que se necesita cable</t>
  </si>
  <si>
    <t>Nueva Walmart de México, S. de R.L. de C.V. compra de material limpieza</t>
  </si>
  <si>
    <t>Electropura, S. de R.L. de C.V., compra de 5 garragones de agua</t>
  </si>
  <si>
    <t>Gasolinerias PS S.A. de C.V., gasolina para visita CFE con directivos</t>
  </si>
  <si>
    <t>Estacionamiento Publico Carmar, visita CFE</t>
  </si>
  <si>
    <t>Fuentes Plaza, A.C. estacionamiento Tesoreria</t>
  </si>
  <si>
    <t>Jony Pizza, compra de 2 pizza para vigilantes como insentivo excelente desemp</t>
  </si>
  <si>
    <t>Luis Hernández, reparación, revisión y arreglo de todas las chapas fraccionamie</t>
  </si>
  <si>
    <t>Servicio Robledo, S.A. de C.V. gasolina para secretario MD Miguel A. Balderas</t>
  </si>
  <si>
    <t>Virginia Hernández Martínez, compra 2 ruedas para puerta Estopila</t>
  </si>
  <si>
    <t>Miguel A. Balderas, pago  mano de obra y apoyo para instalar rueda puerta RV</t>
  </si>
  <si>
    <t>Centro de Copiado y Papelería, pago de 4014 copias informe fraccionamiento</t>
  </si>
  <si>
    <t>Tlapalería y Ferreteria, compra de 2 tornillos para puerta Recoveco</t>
  </si>
  <si>
    <t>Grupo Amigos de San Angel, S.A. de C.V., desayono MD con Yolanda Ramírez</t>
  </si>
  <si>
    <t>Pressem, S.A. de C.V., estaciónamiento desayuno.</t>
  </si>
  <si>
    <t>Nueva Walmart de México, S. de R.L. de C.V. compra de papelería</t>
  </si>
  <si>
    <t>Estcionamiento compra de papelería</t>
  </si>
  <si>
    <t>Ferre Electrica Diaz, compra de cable para poste de luz en Zinampa</t>
  </si>
  <si>
    <t>Olegario Vázquez, pago por arreglar la bicileta para rondines</t>
  </si>
  <si>
    <t>Pedro Cortes, pago camión de basura fin de semana</t>
  </si>
  <si>
    <t>Luis Hernández, pago por trabajo de herrería en poste de luz en Zinampa</t>
  </si>
  <si>
    <t>Patrulla 007, en apoyo para que personal del tianguis no se cuelge de la luz</t>
  </si>
  <si>
    <t>Ofiice Depot de México, S.A. de C.V. copias</t>
  </si>
  <si>
    <t>Ing. Jorge Luis Vázquez, compra de 25 tarjetas Procard RFID</t>
  </si>
  <si>
    <t>Ing. Jorge Luis Vázquez, cambio de eliminador y tornillería en base de pluma</t>
  </si>
  <si>
    <t>Ing. Jorge Luis Vázquez, compra de 5 USB de 8 GB, para respaldos</t>
  </si>
  <si>
    <t>Office Depot de México, S.A. de C.V., compra de copias</t>
  </si>
  <si>
    <t>Ing. Jorge Vázquez, pago de 2 respaldos de eventos en el fraccionamiento</t>
  </si>
  <si>
    <t>Ing. Jorge Vázquez, pago de material para reparción de cableado para plumas</t>
  </si>
  <si>
    <t>Cadena Comercial Oxxo, S.A. de C.V., compra de aguas para parques y jardines</t>
  </si>
  <si>
    <t>Fernando López, pago por cortar matorrales en el parque, que nadie se hace car</t>
  </si>
  <si>
    <t>Nueva Walmart de México, compra de bebidas para vigilancia y MD</t>
  </si>
  <si>
    <t>Estacionamiento Cuemanco, para la compra de leche para vigilancia y MD</t>
  </si>
  <si>
    <t>Jose Manuel Olivares Compensación por quitar anuncios en todo el fraccionami</t>
  </si>
  <si>
    <t>Jóse Manuel Olivares, trabajo de albañilería en explanada de Recoveco</t>
  </si>
  <si>
    <t>ABC Distribuidora para la construcción, compra de material para reparacion RV</t>
  </si>
  <si>
    <t>Elena Osorio, limpieza de juegos grandes y desinfectar del parque</t>
  </si>
  <si>
    <t>Panerías la Ezperanza, S.A. de C.V. compra de 1 pastel para vigilancia y MD</t>
  </si>
  <si>
    <t>Panerías la Ezperanza, S.A. de C.V. compra de 1 vela</t>
  </si>
  <si>
    <t>Fernando López, pago por quitar matorralels con espinas en el parque ZB</t>
  </si>
  <si>
    <t>Roberto Miranda, pago por parrer todo el fraccionamiento 2° quincena enero/16</t>
  </si>
  <si>
    <t>Roberto Miranda, pago por recolección de macetas en mal estado y basura</t>
  </si>
  <si>
    <t>Pedro Cortes, pago mensual por recolección de basura en todo el fraccionamien</t>
  </si>
  <si>
    <t>Pedro Cortes, pago semanal por recolección de basura de Sabados y Domingos</t>
  </si>
  <si>
    <t>Santa Clara, café para mesa de cobranza</t>
  </si>
  <si>
    <t>Gustavo Gil, pago por intalación luz, area del Hueso</t>
  </si>
  <si>
    <t>Marcela Chávez López, pago por limpieza y desinfectar area de juegos parque</t>
  </si>
  <si>
    <t>Ing Jorge Vázquez, pago de un respaldo de video cuhcilla fam. Del villar</t>
  </si>
  <si>
    <t xml:space="preserve">Advanced Servicio CCTV y Cómputo, compra de 4 tenzores y suetadoras para </t>
  </si>
  <si>
    <t>Advanced Servicio CCTV y Cómputo, ant. Mano de obra en cableado de plumas</t>
  </si>
  <si>
    <t>Cadena Comercial Oxxo, S.A. de C.V., compra de agua  y refrescos para MD</t>
  </si>
  <si>
    <t>Gustavo Gil, pago por intalación del cablealdo 90 m luz en Upacuaro y Estopila</t>
  </si>
  <si>
    <t>Tiendas Chedraui, S.A. de C.V. compra de vasos y lacteos para tamales MD</t>
  </si>
  <si>
    <t>Ing. Jorge Vázquez, reconfiguración de 25 tarjetas procord par sistema de pluma</t>
  </si>
  <si>
    <t>Ing. Jorge Vázquez, pago de un respaldo video landro 37</t>
  </si>
  <si>
    <t>Cerrajería Gran Sur, compra de 50 llaves seguridad</t>
  </si>
  <si>
    <t>Felipe Ruiz, pago por apoyo en reconección de luz en Upacuaro a las cuadrillas</t>
  </si>
  <si>
    <t>Cadena Comericial Oxxo, S.A. de C.V., compra de agua y refrescos MD</t>
  </si>
  <si>
    <t>Panerías La Esperanza, S.A. de C.V. compra de pastel vigilancia</t>
  </si>
  <si>
    <t>Panerías La Esperanza, S.A. de C.V. compra de vela</t>
  </si>
  <si>
    <t>Panerías La Esperanza, S.A. de C.V. compra de pastel para junta mesa directiva</t>
  </si>
  <si>
    <t>Grisela Peralta, compra de alimentos en proceso junta Servicios Urbanos Deleg</t>
  </si>
  <si>
    <t xml:space="preserve"> 05-02-16</t>
  </si>
  <si>
    <t>Oscar Sait, pago a personal por reparación de luz en UP</t>
  </si>
  <si>
    <t>Grisela Peralta, compra de refrescos vigilancia y mesa directiva cobranza domingo</t>
  </si>
  <si>
    <t>Ivan Luna, patrulla 07, pago por apoyo en rodines por la noche por no tener luz</t>
  </si>
  <si>
    <t>Ing. Jorge Vázquez, compra de una sensor de peso</t>
  </si>
  <si>
    <t>Electropura, S. de R.L. de C.V., compra de 3 garrafones de agua</t>
  </si>
  <si>
    <t>Florería Monsuri, compra de una cruz florarl para el vecino del Up_45</t>
  </si>
  <si>
    <t>Florería Alex, compra de arreglo floral, para vecino de UP_45</t>
  </si>
  <si>
    <t>SAT Servicio de Administración Tributaría, pago mes de febrero/16</t>
  </si>
  <si>
    <t>Siegrist Contadores Públicos, pago de honorarios mes de febrero/16 y a/c anualid</t>
  </si>
  <si>
    <t>Grisela Peralta, compra de cubre bocas y 1 galletas</t>
  </si>
  <si>
    <t>Grisela Peralta, pago de estacionamiento visita contador Sierist</t>
  </si>
  <si>
    <t>Telefonos de M+exico, SAB de CV., pago del mes de enero/15</t>
  </si>
  <si>
    <t>Gustavo Gil, pago por cambio de luminarías en Zinampa y Estanzuela</t>
  </si>
  <si>
    <t>Los Unicos y Autenticos Tamales y Atoles, compra de tamales en apoyo miercol</t>
  </si>
  <si>
    <t>Administradora Auriga, S.A. de .C.V, gasolina Grisela Peralta</t>
  </si>
  <si>
    <t>Marcela Cávez López, pago por limpieza del kiosco</t>
  </si>
  <si>
    <t>Renilo Muñoz, pago por podar parque del fraccionamiento</t>
  </si>
  <si>
    <t>Renilo Muñoz, pago por acarreo de pasto, deshechos y hojarasca en todo el parq</t>
  </si>
  <si>
    <t>José Manuel Olivarez, pago por recolección de 8 costales de escombros de RV</t>
  </si>
  <si>
    <t>Office Depot de México, S.A. de C.V., compra de marcatexto Visión surt</t>
  </si>
  <si>
    <t>Cadena Comercial Oxxo, S.A. de C.V., compra de aguas y refrescos MD</t>
  </si>
  <si>
    <t>Ing. Jorge Váquez, pago por mano de obra de cambio de cableado de pluma</t>
  </si>
  <si>
    <t>Nueva Walmart de México, S. de R.L. de C.V. compra de material de limpieza</t>
  </si>
  <si>
    <t>Estacionamiento Cuemanco, pago estacionamiento compra material de limpieza</t>
  </si>
  <si>
    <t>José Manuel Olivarez, pago por apoyo en estar vigilando la reparación iluminación</t>
  </si>
  <si>
    <t>Gustavo Gil, pago por mantenimiento y repración de 2 luminarías</t>
  </si>
  <si>
    <t>José Manuel Olivarez, pago por quitar propagandas dentro y fuera del fraccionam</t>
  </si>
  <si>
    <t>Tiendas Chedraui, S.A. de C.V. compra de dulces para la mesa directiva</t>
  </si>
  <si>
    <t>Roberto Miranda, pago de la 1° quincena de febrero por barrer todo el fracciona</t>
  </si>
  <si>
    <t>Artemio Mora Torres, pago 1° quincena del mes de febrero/16</t>
  </si>
  <si>
    <t>Guaradia y Custodias Gama, pago 1° quincena del mes de febrero/16</t>
  </si>
  <si>
    <t>Grisela Peralta Portugal, pago 1° quincena del mes de febrerp/16</t>
  </si>
  <si>
    <t>Office Depot de México, S.A. de C.V., compra papelería</t>
  </si>
  <si>
    <t xml:space="preserve">Imágenes Publicitarías, pago de 1 lona </t>
  </si>
  <si>
    <t>Ing. Jorge Vázquez, pago de 5 memorias USB para respaldos</t>
  </si>
  <si>
    <t>Olegario Vázquez, poda y clareo de árbol en Romeral</t>
  </si>
  <si>
    <t>Olegario Vázquez, plantar en maceta de entrada , clareo y fumigación</t>
  </si>
  <si>
    <t>Ing. Jorge Vázquez, pago de 2 relevadores para el No Break de UP y EZ</t>
  </si>
  <si>
    <t>Patrulla 007, pago en apoyo por rondines y visitas a la delegación para informar</t>
  </si>
  <si>
    <t>Office Depot de México, S.A. de C.V., compra de carpeta, boligrafos, papel y libro</t>
  </si>
  <si>
    <t>Office Depot de México, S.A. de C.V., compra de toner , lapiz adhesivo y recibos</t>
  </si>
  <si>
    <t>Tradición en Patelerías, S.A. de C.V., pago por consumo para junta quincenal MD</t>
  </si>
  <si>
    <t>Tradición en Patelerías, S.A. de C.V. pago estacionamiento</t>
  </si>
  <si>
    <t>Olegario Vázquez, pago por poda y recorte de ramas del árbol de Romeral</t>
  </si>
  <si>
    <t>Electropura, S. de R.L. de C.V. compra de 5 garrafones de agua</t>
  </si>
  <si>
    <t>Olegario Vázquez, pago por jardinería árbol entrada Romeral</t>
  </si>
  <si>
    <t>Olegario Vázque, pago por poda pasto y recolección de hojarasca en EZ y CL</t>
  </si>
  <si>
    <t>Cadena Comercial Oxxo, S.A. de C.V., compra de café para MD en cobranza domin</t>
  </si>
  <si>
    <t>Ing. Jorge Vázque, pago de un respaldo de video en USB para familia Cooper</t>
  </si>
  <si>
    <t>Ing. Jorge Vázquez, reparación de No Break en Upacuaro</t>
  </si>
  <si>
    <t>Luis Vives, vigilante pago en apoyo por colocar lona para miercoles de ceniza</t>
  </si>
  <si>
    <t>Ing. Jorge Vázquez, pago por un respaldo de video en USB para Zinampa # 60</t>
  </si>
  <si>
    <t>Ing. Jorge Vázquez pago de mano de obra por reparación de plumas</t>
  </si>
  <si>
    <t>Gloria Mazzón, pago en apoyo a la cobranza del 3er domindo del mes</t>
  </si>
  <si>
    <t>Cadena Comercial Oxxo, S.A. de C.V. compra de agua, refrescos para MD</t>
  </si>
  <si>
    <t>Office Depot de México, S.A. de C.V. compra de copias y folders</t>
  </si>
  <si>
    <t>Electropura, S. de R.L. de C.V. compra de 3 garrafones de agua</t>
  </si>
  <si>
    <t>Banorte, pago estacionamiento del 22 y 24 de febrero, tramite cuenta cheques</t>
  </si>
  <si>
    <t>Gustavo Gil, reparación de circuito se cambio cable</t>
  </si>
  <si>
    <t>Ing. Jorge Luis Vázquez, compra de material para camara #9</t>
  </si>
  <si>
    <t>Gustavo Gil, reparación de 3 luminarias del parque y un reflector</t>
  </si>
  <si>
    <t>Gustavo Gil, reparación de contactor en el parque, cambio de fotoceldas</t>
  </si>
  <si>
    <t>Sabina Pérez, pago de 37 para trabajadores de reencarpetado</t>
  </si>
  <si>
    <t>Roberto Miranda, pago de la 2 quincena de febrero por barrer todo el fracciona</t>
  </si>
  <si>
    <t>Pedro Cortes, pago mensual por recolección de basura en todo el fraccionamient</t>
  </si>
  <si>
    <t>Artemio Mora Torres, pago 2° quincena del mes de febrero/16</t>
  </si>
  <si>
    <t>Guaradia y Custodias Gama, pago 2° quincena del mes de febrero/16</t>
  </si>
  <si>
    <t>Grisela Peralta Portugal, pago 2° quincena del mes de febrero/16</t>
  </si>
  <si>
    <t>Cadena Comercial Oxxo, S.A. de C.V., compra de refrescos para MD</t>
  </si>
  <si>
    <t>Gloria Mazzón, por concepto de pago de sábado 27 y domingo 28, por trabajo extr</t>
  </si>
  <si>
    <t>Ing. Jorge Vàzquez, pago de 2 respaldos en una sola memorìa</t>
  </si>
  <si>
    <t>Sr. Jairo Vigilancia, pago por apoyo de entrega de documetos y tarjetas elec</t>
  </si>
  <si>
    <t>Centro de copiado y papelerìa, pago de 320 copias</t>
  </si>
  <si>
    <t>Tienda del mercado, compra de bolsas para forrar poster, informaciòn perro</t>
  </si>
  <si>
    <t>Patrulla 007 en apoyo de campaña ley civica cuidado de desechos de mascotas</t>
  </si>
  <si>
    <t>Cadena Comercial Oxxo, S.A. de C.V., compra de aguas para oficiales patrulla 007</t>
  </si>
  <si>
    <t>Centro de copiado y papelerìa, copias, tabla de madera, marcadores, diurex. Etc</t>
  </si>
  <si>
    <t>Electropura, S. de R.L. de C.V., compra de 1 garrafon de agua</t>
  </si>
  <si>
    <t>Office Depot de Mèxico, S.A. de C.V., compra de 1 cartucho epson negro</t>
  </si>
  <si>
    <t>Telefonos de Mèxico, SAB, de C.V. pago telefono de febrero/16</t>
  </si>
  <si>
    <t>Mercado del Hueso, compra de 2 paquetes de ligas</t>
  </si>
  <si>
    <t>Gloria Mazzòn, pago por captura de datos del 29 de febrero al 04 marzo/16</t>
  </si>
  <si>
    <t>Constantino Cabrera, pago de poda de pasto en Upacuaro</t>
  </si>
  <si>
    <t>Gustavo Gil, pago por reparacion de luinarias del parque</t>
  </si>
  <si>
    <t>Jony Pizza, compra de pizza para vigilante Olegario Vàzquez, por su cumpleaños</t>
  </si>
  <si>
    <t>Panerìas La Esperanza, S.A. de C.V, compra de pastelito para vigilancia</t>
  </si>
  <si>
    <t>Pedro Cortes, pago por recolecciòn de basura, fin de semana y bolsas en estopila</t>
  </si>
  <si>
    <t>Ing. Jorge Vàzquez, reparaciòn y mantenimiento a linea de camaras  9 en Zinamp</t>
  </si>
  <si>
    <t>Ing. Jorge Vàzquez, compra de 1 bobina de cable, 1 bouging y 1 kit de conectores</t>
  </si>
  <si>
    <t>Servicio Robledo, S.A. de C.V. gasolina para Mesa Directiva</t>
  </si>
  <si>
    <t>Best Buy Stores, S. de R.L. de C.V., compra de Laptop para Tesorerìa</t>
  </si>
  <si>
    <t xml:space="preserve">Estacionamiento Best Buy Store, compra de laptop </t>
  </si>
  <si>
    <t>Grisela, compra de aguas para mesa Directiva</t>
  </si>
  <si>
    <t>Cadena Comercial Oxxo, S.A. de C.V., compra de aguas para MD cobranza</t>
  </si>
  <si>
    <t>SAT Servicio de Administración Tributaría, pago mes de marzo/16</t>
  </si>
  <si>
    <t>Siegrist Contadores Públicos, pago de honorarios mes de marzo/16 y a/c anualid</t>
  </si>
  <si>
    <t>Estacionamiento visita al contador Siegrist</t>
  </si>
  <si>
    <t>Electroura, S. de R.L. de C.V. compra de 3 garrafones de agua</t>
  </si>
  <si>
    <t>Centro de Copiado y Papelerìa, 600 copias tamaño carta</t>
  </si>
  <si>
    <t>Marcela Chàvez Lòpez, por recolecciòn de basura y lipieza de banquetas de ZB</t>
  </si>
  <si>
    <t>Luis V. V., pago en apoyo con los bomberos en recolecciòn cables y alineaciòn pos</t>
  </si>
  <si>
    <t>Cuartel Bomberos, en apoyo de recoger àrboles y pinos por el mal tiempo</t>
  </si>
  <si>
    <t>Sams club, compra de galletas Mesa Directiva y a Parques y Jardines, juntas</t>
  </si>
  <si>
    <t>Estacionamiento de Sams club,</t>
  </si>
  <si>
    <t>Gloria Mazzòn, pago por captura de datos del 07 al 11 marzo/16</t>
  </si>
  <si>
    <t>Electropura, S. de R.L. de C.V. compra de 2 garrafones</t>
  </si>
  <si>
    <t>Copyfaz, copias</t>
  </si>
  <si>
    <t xml:space="preserve">Home Depot Mèxico, S. de R.L. de , cemento y grava para arreglar poste </t>
  </si>
  <si>
    <t>Ing. Jorge Vàzquez, mano de obra en computadora</t>
  </si>
  <si>
    <t>Ing. Jorge Vàzquez, compra de cable tensor sujetador de metal eliminador 4 AMP</t>
  </si>
  <si>
    <t>Gustavo Gil, pago reparaciòn de 3 luminarìas rnivelar el poste con cableado</t>
  </si>
  <si>
    <t>Gustavo Gil, pago por reconecciòn de cables en ZB por caìda de àrbol</t>
  </si>
  <si>
    <t>Patrulla 007, por apoyo total en eventos del fraccionamiento</t>
  </si>
  <si>
    <t xml:space="preserve">Manuel, apoyo por recolecciòn de trafitambos y ayuda a quitar àrbol </t>
  </si>
  <si>
    <t>Manuel Olivares, copra de comida de miembros de vigilancia</t>
  </si>
  <si>
    <t xml:space="preserve">Ing. Jorge Vàzquez, cableado ZB esq. EZ, cableado del Hueso y ZB </t>
  </si>
  <si>
    <t>Ing. Jorge Vàzquez, colocaciòn de 2 camaras en Recoveco que se dañaron mal tiem</t>
  </si>
  <si>
    <t>Bomberos Sector Coyoacan, apoyo a 7 bomberos y su jefe para quitar poste suelto</t>
  </si>
  <si>
    <t>Nueva Walmart de Mèxico, S de R.L. de C.V., compra de material de limpieza</t>
  </si>
  <si>
    <t>Tradiciòn en Pastelerìas, S.A. de C.V., junta quincenal de Mesa Directiva</t>
  </si>
  <si>
    <t>Estacionamiento Globo por junta quincenal mesa directiva</t>
  </si>
  <si>
    <t>Roberto Miranda, pago 1er quincena mar/16 por barrer todo el fraccionamiento</t>
  </si>
  <si>
    <t>Fernando Lòpez, pago por trabajo de corte de àrbol en el parque</t>
  </si>
  <si>
    <t>Artemio Mora Torres, pago 1° quincena del mes de marzo/16</t>
  </si>
  <si>
    <t>Guaradia y Custodias Gama, pago 1° quincena del mes de marzoo/16</t>
  </si>
  <si>
    <t>Osvaldo Campos, pago por corte de tronco y ramas muy grandes de àrbol que se cayò</t>
  </si>
  <si>
    <t>Tienadas Chedraui, S.A. de C.V., compra de material de limpieza casetas</t>
  </si>
  <si>
    <t xml:space="preserve">Rodizo Churrascarìa, S.A. de C.V., comida para el comandante cuadrante 007 </t>
  </si>
  <si>
    <t>Rodizo Churrascarìa, S.A. de C.V. pago propina en restaurant</t>
  </si>
  <si>
    <t>Operadora Central de Estacionamanientos, S.A. de C.V. pago estacionamiento comida</t>
  </si>
  <si>
    <t>Pago de Valet Parking por cuidado y limpieza de automovil</t>
  </si>
  <si>
    <t>Best Buy Stores, S. de R.L. de C.v., reparaciòn de Laptop Baldemar Sala</t>
  </si>
  <si>
    <t>Advanced Servicios CCTV y Còmputo, mantenimiento a plumas de entrada y salida</t>
  </si>
  <si>
    <t>Electropura, S. de R.L. de C.V., compra de 2 garrafones de agua</t>
  </si>
  <si>
    <t>Constantino Cabrera, pago por quitar raiz de plantas que hiceron una luna muy grande</t>
  </si>
  <si>
    <t>Gloria Mazzòn, pago por captura de datos</t>
  </si>
  <si>
    <t>Inmobiliarìa Lirca, S.A. de C.V., gasolina para Grisela Peralta Mesa Directiva</t>
  </si>
  <si>
    <t>Cadena Comercial Oxxo, S.A. de C.V., compra de aguas y refrescos cobranza domingo</t>
  </si>
  <si>
    <t xml:space="preserve">Pedro Cortes, pago por recolecciòn de basura, fin de semana </t>
  </si>
  <si>
    <t>Electropura, S. de R.L. de C.V., compra de 5 garrafones de agua</t>
  </si>
  <si>
    <t>Office Depot de Mèxico, S.A. de C.V., compra de papelerìa</t>
  </si>
  <si>
    <t>Cuartel Bomberos, compra de comida para cuartel de bomberos por poda de copa de</t>
  </si>
  <si>
    <t>Osvaldo Campos, pago por recolecciòn de hojarasca, hierva, pasto, ramas y àrboles</t>
  </si>
  <si>
    <t xml:space="preserve">Office Depot de Mèxico, S.A. de C.V., compra de varios cartuchos para impresora </t>
  </si>
  <si>
    <t>Ing. Jorge Luis Vàzque, mano de obra de cableado camara Estopila/Estanzuela</t>
  </si>
  <si>
    <t>Sabina Pèrez, pago por concepto de cuatro alimentos para cuadrilla de parques y jard</t>
  </si>
  <si>
    <t>Guaradia y Custodias Gama, pago a/c de la 2° quincena del mes de marzo/16</t>
  </si>
  <si>
    <t>Imagen Publicitarìa, lona para Estanzuela y Estopila</t>
  </si>
  <si>
    <t>Fernando Lòpez, a/c pago por barrer todo el parque y quitar hojarazca</t>
  </si>
  <si>
    <t>Manuel Flores, pago de sello para la asociaciòn civil del fraccionamiento</t>
  </si>
  <si>
    <t>Servicio el Escudo, S.A. de C.V. gasolina para Grisela Peralta, mesa directiva</t>
  </si>
  <si>
    <t xml:space="preserve">Patrulla 007 pago en apoyo por rondines nocturnos en todo el fraccionaiento </t>
  </si>
  <si>
    <t>Cadena Comercial Oxxo, S.A. de C.V. compra de aguas y refrescos cobranza domingo</t>
  </si>
  <si>
    <t>Pedro Cortes pago por recolecciòn de basura del fraccionamiento el fin de semana</t>
  </si>
  <si>
    <t>Fernando López. Pago por cortar árbil caido en el parque</t>
  </si>
  <si>
    <t>Osvaldo Campos, pago a 5 trabajos por barrer, cargar y limpiear hojarazca del parque</t>
  </si>
  <si>
    <t>Ing. Jorge Luis Vázquez, por compra de camara, tendio de cable, colocación de la mis</t>
  </si>
  <si>
    <t>Gloria Mazzón, por concepto de pago de honorarios por trabajaen en cobranza doming</t>
  </si>
  <si>
    <t>Roberto Miranda, pago 2da quincena mar/16 por barrer todo el fraccionamiento</t>
  </si>
  <si>
    <t>Pedro Cortes, pago mensual por recolección de basura en todo el fraccionamiento</t>
  </si>
  <si>
    <t>Javier Escobedo y Fernando López, pago por barrer todo el parque por dos semanas</t>
  </si>
  <si>
    <t>Olegario Vázquez, pago por poda de pasto en caseta de Romeral</t>
  </si>
  <si>
    <t>Roberto Miranda, pago por barrer zona de Recoveco y llevarse basura de toda la zona</t>
  </si>
  <si>
    <t>Artemio Mora Torres, pago 2° quincena del mes de marzo/16</t>
  </si>
  <si>
    <t>Guardias y Custodias Gama, liquidación 2° quincena marzo/16</t>
  </si>
  <si>
    <t>Grisela Peralta Portugal, Pago 2° quincena del mes de marzo/16</t>
  </si>
  <si>
    <t>Gloria Mazzón, pago por apoyo en mesa de cobranza del domingo 03 de abril/16</t>
  </si>
  <si>
    <t>Cadena Comercial Oxxo, S.A. de C.V. compra de agua mesa de cobranza y vigilancia</t>
  </si>
  <si>
    <t>Pedro Bazzan, pago por recolección de basura el fin de semana</t>
  </si>
  <si>
    <t>Ing. Jorge Vázquez, Pago por respaldo de 6 días de garabación a USB Estanzuela</t>
  </si>
  <si>
    <t>Ing. Jorge Vázquez, Pago respaldo de 9 horas en calle de Upacuaro</t>
  </si>
  <si>
    <t>Paneria la Esperanza, S.A. de C.V. compra de pastel celebración Gloria Mázzón Tesor</t>
  </si>
  <si>
    <t>7 Eleven México, S.A. de C.V., compra de platos, vasos, refrescos para MD y vigilanc</t>
  </si>
  <si>
    <t>Estacionamiento, compra en la Esperanza, junta mesa directiva</t>
  </si>
  <si>
    <t>Ing. Jorge Vázquez, pago de 2 eliminadores de 2 amperes</t>
  </si>
  <si>
    <t>Sabinaa Pérez Gónzalez, pago de alimentos y bebidas para mesa directiva</t>
  </si>
  <si>
    <t>Ing. Jorge Vázquez, pago de mano de obra en camaras y 2 eliminadores, UP / HS y RM</t>
  </si>
  <si>
    <t>Office Depot de México, S.A. de C.V. compra de papelería</t>
  </si>
  <si>
    <t>Javier Escobedo y Fernando López, pago por poda y tala de plantas alrededor del kios</t>
  </si>
  <si>
    <t>Tradición en Pastelerías, S.A. de C.V., junta de mesa directiva</t>
  </si>
  <si>
    <t>Ing. Jorge Vázquez, pago de 2 eliminadores y un par de transceptores</t>
  </si>
  <si>
    <t>Telefonos de México, SAB de C.V. pago mes de marzo/16</t>
  </si>
  <si>
    <t>Gloria Mazzón, pago por captura de datos del 04 al 08 de abril/16</t>
  </si>
  <si>
    <t>Cadena Comercial Oxxo, S.A. de C.V. compra de refrescos junta mesa directiva</t>
  </si>
  <si>
    <t>Electropura, S. de R.L. de C.V., copra de 3 garrafones de agua</t>
  </si>
  <si>
    <t>Estacionamiento, visita delegacón Coyoacan con Valentin Maldonado</t>
  </si>
  <si>
    <t>Victor Romero Paredes, compra de café y donas visita delegación.</t>
  </si>
  <si>
    <t>Luis Vivas, compra de refacciónes y reparación de bicibleta de vigilancia</t>
  </si>
  <si>
    <t>Ing. Jorge Vázquez, reparación de camara frofesional y conección BNC monalisa CNB</t>
  </si>
  <si>
    <t>Luis Hernández, reparación de chapa puerta EZ, ZB y mantenimiento gral RV</t>
  </si>
  <si>
    <t>Ing. Jorge Vázquez, pago por mano de obra en camaras</t>
  </si>
  <si>
    <t>Servicio Robledo, S.A. de C.V., pago de gasolina Grisela Peralta,</t>
  </si>
  <si>
    <t>Estacionamiento, visita a condador Siegrist</t>
  </si>
  <si>
    <t>SAT Servicio de Administración Tributaría, pago mes de abril/16 IVA colegio Carmel</t>
  </si>
  <si>
    <t>Siegrist Contadores Publicos, pago de honorarios mes de abril/16 y a/c anualidad</t>
  </si>
  <si>
    <t>Tienda, compra de refresco, café y galletas, visita contador Siegrist</t>
  </si>
  <si>
    <t>Gloria Mazzón, pago por captura de datos del 11 al 15 de abril/16</t>
  </si>
  <si>
    <t xml:space="preserve">Roberto Miranda, pago de la 1er quincena por barrer todo el fraccionamiento </t>
  </si>
  <si>
    <t>Artemio Mora Torres, pago 1° quincena del mes de abril/16</t>
  </si>
  <si>
    <t>Guardías y Custodía Gama, pago 1° quincena dell mes de abril/16</t>
  </si>
  <si>
    <t>Grisela Peralta Purtugal, pago 1° quincena del mes de abril/16</t>
  </si>
  <si>
    <t>Estacionamiento Corsa, S.A. de C.V. compra de limpieza</t>
  </si>
  <si>
    <t>Roberto Miranda, compra de 1 escoba para barrer colonia</t>
  </si>
  <si>
    <t>Patrulla 007, compensación por operativos para liberar espacios</t>
  </si>
  <si>
    <t>Starbucks Coffe, junta mesa directiva</t>
  </si>
  <si>
    <t>Comercial City Fresko S. de R.L. de C.V., compra de materiales de limpieza para case</t>
  </si>
  <si>
    <t>Estacionamiento Cuemanco, compra de presente para arquitecto de bacheo</t>
  </si>
  <si>
    <t>Gloria Mazzón, pago por captura de datos del 18 al 22 de abril/16</t>
  </si>
  <si>
    <t>Electropura, S. de R.L. de C.V., copra de 4 garrafones.</t>
  </si>
  <si>
    <t>Cadena Comercial Oxxo, S.A. de C.V. compra de cafes, mesa de cobranza MD</t>
  </si>
  <si>
    <t>Roberto Bazzan, pago por recolección de basura de toda la colonia, fin de semana</t>
  </si>
  <si>
    <t>Villafaña Pérez Judith, compra de cafes para mesa de cobranza MD</t>
  </si>
  <si>
    <t>Cadena Comercial Oxxo, S.A de C.V. compra de refrescos para vigilancia, plumas</t>
  </si>
  <si>
    <t>Centro de copiado y papelería, copias,, clips y plumas</t>
  </si>
  <si>
    <t>Centro de copiado y papelería, plumon aceite rojo</t>
  </si>
  <si>
    <t>Cadena Comercial Oxxo, S.A. de C.V., compra de café Mesa Directiva</t>
  </si>
  <si>
    <t>Gustavo Gil, pago por arreglar corto en Calz. De Hueso y medio parque del fracciona.</t>
  </si>
  <si>
    <t>Olegario Vázquez, pago por mantenimiento de chapa urgente EZ y arreglo bicicleta</t>
  </si>
  <si>
    <t>Nueva Walmart de México, S.A. de C.V., compra de chocolates presente Arq. bacheo</t>
  </si>
  <si>
    <t>Nueva Walmart de México, S.A. de C.V., compra de material de limpeza casetas</t>
  </si>
  <si>
    <t>Inmobiliaria Lirca, S.A. de C.V., compra de gasolina mesa directiva, Grisela Peralta</t>
  </si>
  <si>
    <t>Pasteleria Bodon, S.A. de C.V., compra de tablon naranja y servilletas evento día niño</t>
  </si>
  <si>
    <t>Estacionamiento Cuemanco, compra de articuos para evento día del ñino</t>
  </si>
  <si>
    <t>Luis Hernández, reparación de chapa puerta  ZB y mantenimiento gral EZ</t>
  </si>
  <si>
    <t>Pastelería Bodon, S.A. de C.V. compra de dulces par día del niño</t>
  </si>
  <si>
    <t>Luis Vivas, en apoyo para gastos de funerales del padre de nuestro elemento de vigi</t>
  </si>
  <si>
    <t>Gloria Mazzón, pago de captura de datos del 25 al 29 de abril/16</t>
  </si>
  <si>
    <t>Roberto Miranda, pago por barrer parque por festejo del día del niño</t>
  </si>
  <si>
    <t>Roberto Miranda, Pago por recpñecco+pm basira 2da semana de abril/16</t>
  </si>
  <si>
    <t>Pedro Cortes, pago por recolección de basura, 2da. Quincena</t>
  </si>
  <si>
    <t>Pedro Bazzan, pago por recolección basura fin de semana</t>
  </si>
  <si>
    <t>Advanced Servicio CCTV y Cómputo, pago de membrana y botones de control remoto</t>
  </si>
  <si>
    <t>Advanced Servicio y Cómputo, pago mano de obra en reubicación plato lector de tarje</t>
  </si>
  <si>
    <t>Advanced Servicio CCTV y Cómputo, reubicación de plato lector de tarjetas electroni</t>
  </si>
  <si>
    <t>31-04-16</t>
  </si>
  <si>
    <t>Guardias y Custodias Gama, a/c 2° quincena abril/16</t>
  </si>
  <si>
    <t>Artemio Mora Torres, pago 2° quincena del mes de abril/16</t>
  </si>
  <si>
    <t>Grisela Peralta Portugal, Pago 2° quincena del mes de abril/16</t>
  </si>
  <si>
    <t>Electropura, S. de R.L. de C.V. compra de 4 garrafones de agua</t>
  </si>
  <si>
    <t>Nueva Walmart de Mèxico, S.A. de C.V. compra de materiales de limpieza</t>
  </si>
  <si>
    <t>Estacionamiento Cuemanco, compras de materiales de limpieza</t>
  </si>
  <si>
    <t>Telefonos de Mèxico, SAB de C.V. pago del mes de abril/16</t>
  </si>
  <si>
    <t>Grupo Barrera, compra de 1000 recibos para cobranza de cuotas de mantenimiento</t>
  </si>
  <si>
    <t>Office Depot de México, S.A. de C.V., compra de toner brother para presidencia</t>
  </si>
  <si>
    <t>Servicio El Escudo, S.A. de C.V., gasolina para M.D. Grisela Peralta</t>
  </si>
  <si>
    <t>Advanced Servicio CCTV y Cómputo, compra de 1 lente profesional para cama tipo c</t>
  </si>
  <si>
    <t>7 Eleven México, SA. De C.V., compra de café, para mesa directiva</t>
  </si>
  <si>
    <t>Patrulla 007, compensación por patrullaje en todo el fraccionamiento</t>
  </si>
  <si>
    <t>Office Depot de México, S.A. de C.V., compra papelería para tesorería</t>
  </si>
  <si>
    <t>Cadena Comercial Oxxo, S.A. de C.V., compra de agua para mesa de cobranza</t>
  </si>
  <si>
    <t>Cadena Comercial Oxxo, S.A. de C.V., compra de refrescos para flotilla de poda de a.</t>
  </si>
  <si>
    <t>Luis Hernández, pago por trabajo de arreglo de chapa en Estanzuela y Zinamba</t>
  </si>
  <si>
    <t>Gloria Mazzón, pago por captura de datos del 2 al 6 de mayo/16</t>
  </si>
  <si>
    <t>Cadena Comercial Oxxo, S.A. de C.V. compra de agua para mesa de cobranza domin</t>
  </si>
  <si>
    <t>Pedro Bazzan, pago por recolección de basura fines de semana</t>
  </si>
  <si>
    <t>Vigilancia, compra de tarjeta para telefono celular para llamadas de emergecia</t>
  </si>
  <si>
    <t>Advanced Servicio CCTV y Cómputo, instalación y activación de office 2013</t>
  </si>
  <si>
    <t>Advanced Servicio CCTV y Cómputo, pago licencia para windows 7 profesional</t>
  </si>
  <si>
    <t>Advanced Servicio CCTV y Cómputo, mano de obra actualización de sistema de tarje</t>
  </si>
  <si>
    <t>Sabina Pérez, pago por 2 días de alimentos a la cuadrilla de desazolve de delegación</t>
  </si>
  <si>
    <t>Hector, pago por entrega y doblar todas las circulares para 2do reporte del fracc.</t>
  </si>
  <si>
    <t>Centro de Copiado y Papelería, copias para 2do. Informe del fraccionamiento</t>
  </si>
  <si>
    <t>Gloria Mazzón, pago por captura de datos del 9 al 13 de mayo/16</t>
  </si>
  <si>
    <t xml:space="preserve">Artemio Mora Torres, pago 1er quincena del mes de mayo/16 </t>
  </si>
  <si>
    <t>Guardias y Custodías Gama, pago 1er quincena del mes de mayo/16</t>
  </si>
  <si>
    <t xml:space="preserve">Grisela Peralta Portugal, pago 1er quincena del mes de mayo/16 </t>
  </si>
  <si>
    <t>Advanced Servicio CCTV Còmputo, rapraciòn de pluma salida y camara por falta luz</t>
  </si>
  <si>
    <t>Tradiciòn en Pastelerìas, S.A. de C.V. junta de mesa directiva</t>
  </si>
  <si>
    <t>Cadena Comercial Oxxo, S.A. de C.V. comppra de refrescos para personal de arbolad</t>
  </si>
  <si>
    <t>Luis Hernàndez, repraciòn de chapa EP y arreglo de arreglo y desarmar chapa EZ</t>
  </si>
  <si>
    <t>Advanced Servicio CCTV Còmputo, pago de 1 respaldo video CL_59</t>
  </si>
  <si>
    <t>Consorcio Gasolinero Plus, S.A. de C.V., gasolina mesa directiva, Grisela Peralta</t>
  </si>
  <si>
    <t>SAT Servicio de Administraciòn Tributarìa, pago mes de mayo/16 colegio Carmel</t>
  </si>
  <si>
    <t>Estacionamiento visita contador Sigrist</t>
  </si>
  <si>
    <t>Siegrist Contadores Pùblicos, pago de honorarios mes mayo/16 Colegio Carmel IVA</t>
  </si>
  <si>
    <t>Advanced Servicio CCTV Còmputo, gastos de respaldo de video</t>
  </si>
  <si>
    <t>Advanced Servicio CCTV Còmputo, compra de 25 tarjetas y configuraciòn de ellas</t>
  </si>
  <si>
    <t>Centro de Copiado y Papelerìa, 225 copias</t>
  </si>
  <si>
    <t>Gloria Mazzòn, pago por captura de datos del 16 al 20 de mayo/16</t>
  </si>
  <si>
    <t>Gloria Mazzòn, pago por captura de datos del 23 al 27 de mayo/16</t>
  </si>
  <si>
    <t>Guardias y Custodías Gama, pago liq. 2da. quincena del mes de abril/16</t>
  </si>
  <si>
    <t>Estacionamiento Gran Sur recoger las llaves para acceso peatonal</t>
  </si>
  <si>
    <t>Advanced Servicio y Còputo, pago 1 respaldo de video descargado a USB</t>
  </si>
  <si>
    <t>Olegario Vàzqez, pago por poda y recortee de cesped y arbolito de Romeral</t>
  </si>
  <si>
    <t>Electropura S. de R.L. de C.V. compra de 5 garrafones de agua</t>
  </si>
  <si>
    <t>Daniel Gamma, barrio zona caseta y alrededor parque toda la hojarasca y llevarsela</t>
  </si>
  <si>
    <t>Patrulla 007, pago en aoyo por las novhes haciendo rondin toda la semana</t>
  </si>
  <si>
    <t>Cerrajerìa Gran Sur, compra de 30 llaves para acceso peatonal ch #19</t>
  </si>
  <si>
    <t>Florerìa Alex, compra de 1 arreglo floral y pago al padre que oficio misa  MD</t>
  </si>
  <si>
    <t>Electropura S. de R.L. de C.V. compra de 4 garrafones de agua</t>
  </si>
  <si>
    <t>Cadena Comercial Oxxo, S.A. de C.V. compra de regrescos para junta urgente MD</t>
  </si>
  <si>
    <t>Centro de copiado y papelerìa, varias copias</t>
  </si>
  <si>
    <t>Cadena Comercial Oxxo, S.A. de C.V. compra junta mesa y vigilancia</t>
  </si>
  <si>
    <t>Advanced Servicio y Còmputo, compra de conectores de video balum y eliminador</t>
  </si>
  <si>
    <t xml:space="preserve">Cadena Comercial Oxxo, S.A. de C.V. compra de refrescos para cuadrilla de parques </t>
  </si>
  <si>
    <t>Advanced Servicio CCTV y Còmputo, instalaciòn de camara para placas en ZB</t>
  </si>
  <si>
    <t>Advanced Servicio CCTV y Còmputo, mantenimiento a 2 camaras para placa RM</t>
  </si>
  <si>
    <t>Sabina Pèrez, pago der 20 almuerzos para cuadrilla de parques y jardines</t>
  </si>
  <si>
    <t>Electropura, S. de R.L. de C.V. pago de 4 garrafones de agua</t>
  </si>
  <si>
    <t>Electropura, S. de R.L. de C.V. compra de 3 garrafones para RM</t>
  </si>
  <si>
    <t>Camiòn basura, por recoger ramas de pino que no deja ver a la camara RM</t>
  </si>
  <si>
    <t>Personal Gamma, Pago por recortar ramas de pino de RM que no deja ver camara</t>
  </si>
  <si>
    <t>Sabina Pèrez, pago de luch para personal que pinto señalamientos</t>
  </si>
  <si>
    <t>Advanced Servicio CCTV y Còmputo, pago 1 respaldo de video en USB</t>
  </si>
  <si>
    <t xml:space="preserve">Advanced Servicio CCTV y Còmputo, venta de 10 anucios de seguridad </t>
  </si>
  <si>
    <t>Manuel Gamma, pago por pintar caseta de ZB</t>
  </si>
  <si>
    <t>Ing. Jorge Vàzquez, compra de broches de plastico con segueta y seguro para letrero</t>
  </si>
  <si>
    <t>Pedro Cortes, pago por recolecciòn de basura todo el mes entre semana</t>
  </si>
  <si>
    <t>Luis Hernàndez, pago por reparaciòn de chapa en EP</t>
  </si>
  <si>
    <t>Cadena Comercial Oxxo S.A. de C.V., compra de refrescos para pintores de la deleg</t>
  </si>
  <si>
    <t xml:space="preserve">Roberto Miranda, pago de la 2da quincena por barrer todo el fraccionamiento </t>
  </si>
  <si>
    <t>Gloria Mazzòn, pago por captura de datos del 30 de mayo al 03 de junio/16</t>
  </si>
  <si>
    <t xml:space="preserve">Artemio Mora Torres, pago 2da quincena del mes de mayo/16 </t>
  </si>
  <si>
    <t>Guardias y Custodias Gama, pago 2da. Quincena del mes de mayo/16</t>
  </si>
  <si>
    <t xml:space="preserve">Grisela Peralta Portugal, pago 2 da. quincena del mes de mayo/16 </t>
  </si>
  <si>
    <t>Pago de 15 almuerzos que se le dieron al personal de la delegación por apoyo pintar</t>
  </si>
  <si>
    <t>Cadena Comercial Oxxo, S.A. de C.V. compra de refrescos para personal delegación</t>
  </si>
  <si>
    <t>Cadena Comercial Oxxo, S.A. de C.V. compra de refrescos para personal vigilancia</t>
  </si>
  <si>
    <t>Compra de refrescos a cuadrilla de pintura</t>
  </si>
  <si>
    <t>Advanced Servicio CCTV y Cómputo, compra de dos camars fijas alta resolución</t>
  </si>
  <si>
    <t>Sabina Pérez, compra de 17 almuerzos para cuadrilla de pintores delegación</t>
  </si>
  <si>
    <t>Cadena Comercial Oxxo, S.A. de C.V., compra de refrescos para cuadrilla pintores</t>
  </si>
  <si>
    <t>Electropura S. de R.L. de C.V., compra de 4 garrafones de agua</t>
  </si>
  <si>
    <t>Secretaría de Marína, compra de gasolina mesa directiva, Grisela Peralta</t>
  </si>
  <si>
    <t>Nueva Walmart de México, S.A. de C.V., compra de material de limpieza</t>
  </si>
  <si>
    <t>Estacionamiento Cuemanco, compra de materiales de limpieza</t>
  </si>
  <si>
    <t>Sams Club, compra de papel Xerox, para presidencia</t>
  </si>
  <si>
    <t>Estacionamiento Cuemanco, compra de papel xerox</t>
  </si>
  <si>
    <t xml:space="preserve">Cadena Comercial Oxxo, S.A. de C.V., compra de agua para mesa de cobranza </t>
  </si>
  <si>
    <t>Pedro Bazzan, pago por recolección fin de semana</t>
  </si>
  <si>
    <t>Electropura S. de R.L. de C.V., compra de 2 garrafones de agua</t>
  </si>
  <si>
    <t>Personal Delegación, pago por arreglar electricidad de upacuaro</t>
  </si>
  <si>
    <t>Advanced Servicio CCTV y Cómputo, compra de 2 eliminadores y transportadores</t>
  </si>
  <si>
    <t>Telefonos de México, SAB de C.V. pago del mes de mayo/16</t>
  </si>
  <si>
    <t>Centro de Copiado y Papelería, pago de 11 enmicados</t>
  </si>
  <si>
    <t>Comercializadora Caspin, S.A. de C.V., compra de una brocha para pintar casetas</t>
  </si>
  <si>
    <t>Comercializadora Caspin, S.A. de C.V., compra de un cepillo para pintar casetas</t>
  </si>
  <si>
    <t>Panerías La Esperanza, S.A. de C.V. compra de bocadillos para junta urgente de tarje</t>
  </si>
  <si>
    <t>Cadena Comercial Oxxo, S.A. de C.V., compra de refrescos para junta urgente tarjeto</t>
  </si>
  <si>
    <t>Jose Manuel Olivares, pago por pinta caseta romeral y estopila</t>
  </si>
  <si>
    <t>Manuel Olivares, compra de brocha y cepillo para pintar paredes cerroteadas caseta</t>
  </si>
  <si>
    <t>Advanced Servicio CCTV Cómputo, encaderpara sensor pluma</t>
  </si>
  <si>
    <t>Centro de Copiado y Papelería, 900 copias tamaño carta</t>
  </si>
  <si>
    <t>Cremería Lucy, compra de refrescos para cuadrilla delegación pavimentación</t>
  </si>
  <si>
    <t>Centro de Copiado y Papelería. 900 copias tamaño carta</t>
  </si>
  <si>
    <t>Gustavo Gil, pago por arreglar circuito completo de recoveco cambio cable quemado</t>
  </si>
  <si>
    <t>Office Max, compra de papel tamaño carta</t>
  </si>
  <si>
    <t>Office Depot de México, S.A. de C.V., compra de hologramas de seguridad</t>
  </si>
  <si>
    <t>Gloria Mazzón, pago por captura de datos del 06 al 10 de junio/16</t>
  </si>
  <si>
    <t>Gloria Mazzón, pago por apoyo el domingo 12 de junio para cobranza</t>
  </si>
  <si>
    <t>Manuel Olivares, pago por trabajo de limpieza a caseta recobeco y recoleccion basu</t>
  </si>
  <si>
    <t>Camión de basura, pago por recoger costales de arena y hojarasca</t>
  </si>
  <si>
    <t>Jardinero, pago por corte de pasto orilla de banquetas, RV y EP</t>
  </si>
  <si>
    <t>Romero Paredes Victor, pago de 2 café, visita a delegación junta Valentin Maldona</t>
  </si>
  <si>
    <t>Tlapalería, La Esmeralda, compra de candado puerta zinampa</t>
  </si>
  <si>
    <t>Miguel Anagel Balderas, pago en apoyo cobranza apoyo en tarjetones</t>
  </si>
  <si>
    <t>Estacionamiento visita delegación junta con Valentin Maldonado</t>
  </si>
  <si>
    <t>Roberto Miranda, pago 1 er quincena por recoger y barrer basura toda las semanas</t>
  </si>
  <si>
    <t>Artemio Mora Torres, pago 1er quincena del mes de junio/16</t>
  </si>
  <si>
    <t>Guardias y Custodías Gama, pago 1er quincen del mes de junio/16</t>
  </si>
  <si>
    <t>Grisela Peralta Portugal, pago 1er qincena del mes de junio/16</t>
  </si>
  <si>
    <t>El Globo, tradiciòn en pastelerìas, S.A. de C.V. junta de mesa directiva</t>
  </si>
  <si>
    <t>Estacionamiento El Grobo, junta mesa directiva</t>
  </si>
  <si>
    <t>Patrulla 007 conpensaciòn por rondines en domingo por todo el fraccionamiento</t>
  </si>
  <si>
    <t>Siegries Contadores Publicos, pago de honorarios mes de junio/16 i.v.a colegio carm</t>
  </si>
  <si>
    <t>Estacionamiento visita al Contador Siegries</t>
  </si>
  <si>
    <t>Electropura, S. de R.L. de C.V., compra de 6 garrafones de agua</t>
  </si>
  <si>
    <t>Cadena Comercial Oxxo, S.A de C.V., compra de refrescos para junta abojado lineam</t>
  </si>
  <si>
    <t>Gloria Mazzòn, pago en apoyo en cobranza del domingo 12 de junio/16</t>
  </si>
  <si>
    <t>Hèctor Vàzquez, pago por entregar circular en todo el fraccionamiento</t>
  </si>
  <si>
    <t>Camiòn de basura, pago por recolecciòn basura zona zinampa sabado(ramas en bol)</t>
  </si>
  <si>
    <t>Tienda, compra de agua para cuadrilla de la Delegaciòn recolecciòn de pasto</t>
  </si>
  <si>
    <t>Centro de Copiado y Papelerìa, 410 copias tamaño carta</t>
  </si>
  <si>
    <t>Panerìas La Esperanza, S.A. de C.V. compra de galletas junta abogado Fernando Sosa</t>
  </si>
  <si>
    <t>Office Depot de Mèxico, S.A. de C.V. compra de papelerìa</t>
  </si>
  <si>
    <t>Tlapalerìa, compra de 1 rollo neopreno y mano de obra por instalarlo</t>
  </si>
  <si>
    <t>Gloria Mazzòn, pago por captura de datos del 13 al 17 de junio/16</t>
  </si>
  <si>
    <t>Luis Hernàndez, pago reparacipon de puesta en estopila</t>
  </si>
  <si>
    <t>LaComer, compra de platos desechables para pay que se les dio a todos lo papas fra</t>
  </si>
  <si>
    <t>LaComer, compra de cucharas para evento dia del padre</t>
  </si>
  <si>
    <t>Alimentos la Paloma, S.A. de C.V., compra de 3 pays para el dìa Padre Fraccionamien</t>
  </si>
  <si>
    <t>Tienda Miramontes, compra de 2 globos y 1 mantel para evento dìa del padre</t>
  </si>
  <si>
    <t>Cadena Comercial Oxxo, S.A. de C.V. compra de aguas, refrescos y café MD cobranza</t>
  </si>
  <si>
    <t>Advanced Servicio y Còmputo, Venta de 4 botes de aire comprimido, 1 monitos etc</t>
  </si>
  <si>
    <t>Advanced Servicio y Còmputo, mano de obra en instalaciòn y cableado de 2 camaras</t>
  </si>
  <si>
    <t>Gloria Mazzòn, pago en apoyo en cobranza del domingo 19 de junio/16</t>
  </si>
  <si>
    <t>Luis Hernàndez, pago por repara y ajustar puerta y llantas de Upacuaro y Landero</t>
  </si>
  <si>
    <t>Luis Hernàndez, pago reparaciòn de puertas de Cuchilla y Upacuaro puerta para auto</t>
  </si>
  <si>
    <t>Gloria Mazzòn, pago por captura de datos del 20 al 24 de junio/16</t>
  </si>
  <si>
    <t>Electropura, S. de R.L. de C.V. compra de 6 garragones de agua</t>
  </si>
  <si>
    <t>Cerrajerìa Gransur, compra de 30 llaves cheque #25</t>
  </si>
  <si>
    <t>Fernando Sosa, pago de acta circunstanciada por conflitos con vecino CL_52 cheq. 27</t>
  </si>
  <si>
    <t>Advanced Servicio CCTV y Còmputo, compra bobina, cable y paq. De 50 tenzores</t>
  </si>
  <si>
    <t>Advanced Servicio CCTV y Còmputo, compra de 1 camara tipo bala, hosing y elimina</t>
  </si>
  <si>
    <t>Villafaña Perez Judith, compra de café para mesa de cobranza domingo 26-06-16</t>
  </si>
  <si>
    <t>Advanced Servicio y Còmputo, reparaciòn de 3 circuitos CTV en Zinampa chq. # 28</t>
  </si>
  <si>
    <t>Gloria Mazzòn, pago en apoyo ala cobranza del domingo 26 de julio</t>
  </si>
  <si>
    <t>Alberto Reyes, pago de comida para cuadrilla delegacilòn de dragado y desasolve</t>
  </si>
  <si>
    <t>Advanced Servicio CCTV y Còmpuo, reparaciòn de pluma de entrada caseta Zinampa</t>
  </si>
  <si>
    <t>Telefonos de Mèxico, SAB de C.V. pago del mes de junio/16</t>
  </si>
  <si>
    <t>Josè Luis Noeriega, pago por arreglo de puerta de Landero y compra de materiales</t>
  </si>
  <si>
    <t>Apolinar de La Cruz, copra de un paraguas para mesa de cobranza de los domingos</t>
  </si>
  <si>
    <t>Roberto Miranda, pago 2da quincena por recoger y barrer basura toda las semanas</t>
  </si>
  <si>
    <t>Guardias y Custodìas Gama, pago 2da. Quincena del mes de junio/16</t>
  </si>
  <si>
    <t>Artemio Mora Torres, pago 2da quincena del mes de junio/16</t>
  </si>
  <si>
    <t>Grisela Peralta Portugal, pago 2da. Quincena del mes de junio/16</t>
  </si>
  <si>
    <t>Cadena comercial Oxxo, S.A. de C.V. compra refresos para personal de compostura pl</t>
  </si>
  <si>
    <t>Estacionamiento Cuemanco,  pago estacionamiento desayuno mesa directiva</t>
  </si>
  <si>
    <t>Italcafe, S.A. de C.V., desayuno mesa directiva y comitè vecinal</t>
  </si>
  <si>
    <t>Osvaldo Campors, pago por recolecciòn de 2 bolsas y costal de pasto y cascajo RM</t>
  </si>
  <si>
    <t>Gustavo Gil, pago por arreglar circuito de Zinampa, luz</t>
  </si>
  <si>
    <t>Gloria Mazzòn, pago por captura de datos del 27 de junio al 01 de julio/16</t>
  </si>
  <si>
    <t>Cadena comercial Oxxo, S.A. de C.V., compra de agua y refrescos mesa de cobranza</t>
  </si>
  <si>
    <t>Tiendas Comercial Mexicana, S.A. de C.V. compra de focos para Zinampa</t>
  </si>
  <si>
    <t>Advanced Servicio CCTV y Còmputo, compra de cable para caseta Zinampa</t>
  </si>
  <si>
    <t>Cadena Comercial Oxxo, S.A. de C.V., compra de agua y refrescos junta Gama</t>
  </si>
  <si>
    <t>Advanced Servicio CCTV y Còmputo, compra de 1 eliminador, RV 1 par de tranceptore7</t>
  </si>
  <si>
    <t>Gloria Mazzòn, pago en apoyo cobranza domingo de tarjetones</t>
  </si>
  <si>
    <t>Tiendas Comercial Mexicana, S.A. de C.V. compra de material de limpieza</t>
  </si>
  <si>
    <t>Advanced Servicio CCTV y Còmputo, compra de 1 camara, 1 Housing, 1 par de trans</t>
  </si>
  <si>
    <t>Advanced Servicio CCTV y Còmputo, compra 2 bobinas y mano de obra</t>
  </si>
  <si>
    <t>Office Depor de Mèxico, S.A. de C.V., compra de material de papelerìa</t>
  </si>
  <si>
    <t>Advanced Servicio CCTV y Còmputo, compra de sujetadores y mano de obra computa</t>
  </si>
  <si>
    <t>Gloria Mazzòn, pago por captura de datos del 04 al 08 de julio/16</t>
  </si>
  <si>
    <t>Cadena Comercial Oxxo, S.A. de C.V., compra de refrescos a personal de limpieza kios</t>
  </si>
  <si>
    <t>Marcia Chavez Lòpez, pago de limpieza y mantenimiento de kiosco y alrededor</t>
  </si>
  <si>
    <t>Pedro Bazzan, pago por barrer basura los fines de semana en toda la colonia</t>
  </si>
  <si>
    <t>Patrulla 007, en apoyo a rondines al fraccionamiento para retirar una unidad mal esta</t>
  </si>
  <si>
    <t>Cadena Comercial Oxxo, S.A. de C.V., compa de café para mesa de cobranza domingo</t>
  </si>
  <si>
    <t>Canena Comercial Oxxo, S.A. de C.V., compra de refresco para vigilancia</t>
  </si>
  <si>
    <t>Guardias y Custodías Gama, pago 1er quincen del mes de julio/16</t>
  </si>
  <si>
    <t>Grisela Peralta Portugal, pago 1er qincena del mes de julio/16</t>
  </si>
  <si>
    <t>Artemio Mora Torres, pago 1er quincena del mes de julio/16</t>
  </si>
  <si>
    <t>Gloria Mazzòn, pago por captura de datos del 11 al 15 de julio/16</t>
  </si>
  <si>
    <t>Apolinar de La Cruz, compra de un paraguas para vigilancia</t>
  </si>
  <si>
    <t>Comercial City Fresko S. de R.L. de C.V., compra de papelerìa para presidencia y teso</t>
  </si>
  <si>
    <t>Nueva Wal Mart de Mèxico, S. de R.L. de C.V. compra de 1 cafetera para vigilancia</t>
  </si>
  <si>
    <t>Nueva Wal Mart de Mèxico, S. de R.L. de C.V. compra de material de limpieza casetas</t>
  </si>
  <si>
    <t>Estacionamiento Cuemanco, compras de limpieza y cafetera</t>
  </si>
  <si>
    <t>Luis Hernàndez, repraciòn de chapa de EZ y EP, aceitar todas las chapas peatonales</t>
  </si>
  <si>
    <t>Luis Hernàndez, repraciòn de pueta vehicular LD trabajo de herrerìa y cambio de llant</t>
  </si>
  <si>
    <t>Comercializadora Caspin, S.A. de C.V. compra de rodillo para pintar caseta</t>
  </si>
  <si>
    <t>Advanced Servicio CCTV Còmputo, pago mano de obra instalaciòn</t>
  </si>
  <si>
    <t>Electropura, S. de R.L. de .C.V. compra de 4 garraones de agua</t>
  </si>
  <si>
    <t>Cadena Comercial Oxxo, S.A. de C.V. compra de café para mesa de cobranza domingo</t>
  </si>
  <si>
    <t>Manuel Olivares, pago por pintar señalizaciòn de peligro en RM entre UP y LD</t>
  </si>
  <si>
    <t>Roberto Miranda, pago por recolecciòn camiòn fin de semana y barrer</t>
  </si>
  <si>
    <t>Gloria Mazzón, pago en apoyo cobranza el domingo 17 de julio/16</t>
  </si>
  <si>
    <t>Advanced Servicio CCTV Cómputo, compra de 1 DVR y 1 camara</t>
  </si>
  <si>
    <t>Sr. Roldan, compra de agua y frefrescos para cuadrilla colocación de ejercitadores</t>
  </si>
  <si>
    <t>Advanced Servicio CCTV Cómputo, reparación de camara CNB</t>
  </si>
  <si>
    <t>Ing. Jorge Vázquez, compra de pilas 23 A para control de pluma de acceso ZB</t>
  </si>
  <si>
    <t>Sabina Pérez, pago de 12 almuerzos para personal de desazolve y dragado delegación</t>
  </si>
  <si>
    <t>Advanced Servicio CCTV Cómputo, pago de mano de obra instalación de camara UP</t>
  </si>
  <si>
    <t>Advanced Servicio CCTV Cómputo, compra de 30 tarjetas procord electronicas</t>
  </si>
  <si>
    <t xml:space="preserve">Siegris Contadores Públicos, pago de honorarios mes de julio/16 </t>
  </si>
  <si>
    <t>SAT Servicio de Administracion Tribuitaria, pago julio/16 I.V.A. colegio Carmel</t>
  </si>
  <si>
    <t>SAT Servicio de Administraciòn Tributarìa, pago mes  junio/16 colegio carmel</t>
  </si>
  <si>
    <t>Administradora Auriaga, S.A. de C.V. gasolina para mesa directiva, Grisela Peralta</t>
  </si>
  <si>
    <t>Advanced Servicio CCTV Cómputo, pago de 1 respaldo de video LD # 2</t>
  </si>
  <si>
    <t>Advanced Servicio CCTV Cómputo, pago de reconfiguración de 30 tarjetas procord</t>
  </si>
  <si>
    <t>Luis Hernéndez, pago por arreglar pluma Romeral</t>
  </si>
  <si>
    <t>Estacionamiento Cuemanco, pago de estacionamiento junta mesa directiva</t>
  </si>
  <si>
    <t>Stabucks Coffe pago de café junta mesa directiva</t>
  </si>
  <si>
    <t>Grisela Peralta, compra de de refrescos para cuadrila de desazolve y dragado</t>
  </si>
  <si>
    <t>Estacionamiento, pago de estacionamiento y valet parking visita contador Siegrist</t>
  </si>
  <si>
    <t>Sabina Pérez, pago de 16 almuerzos para personal de alcantarillado delegación</t>
  </si>
  <si>
    <t>Gloria Mazzón, pago de honorarios del día 18 al 22 de julio/16</t>
  </si>
  <si>
    <t>Centro de Copiado y Papelería, pago de 450 copias informe para el fraccionamiento</t>
  </si>
  <si>
    <t>Advanced Servicio CCTV Cómputo, pago de 1 camara Bitek</t>
  </si>
  <si>
    <t>Héctor Vázquez, pago por entrega de circular en todo el fraccionamiento</t>
  </si>
  <si>
    <t>Grisela Peralta, compra de refrescos para cuadrilla de poda de parque</t>
  </si>
  <si>
    <t xml:space="preserve">Manuel Olivares, pago en apoyo al estar a lado de Mesa directiva visita delegado </t>
  </si>
  <si>
    <t>Cadena Comercial Oxxo, S.A. de C.V., compra de café para mesa de cobranza domin</t>
  </si>
  <si>
    <t>Cadena Comercial Oxxo, S.A. de C.V., compra de refresco para vigilancia</t>
  </si>
  <si>
    <t>Villafaña Pèrez Judith, compra de café para mesa de cobranza domingo de cobranza</t>
  </si>
  <si>
    <t>Federico Medina, pago de almuerzos para cuadrilla delegacilòn poda pasto</t>
  </si>
  <si>
    <t>Roberto Medina, pago por barrer todo el parque evento delegado Coyoaca</t>
  </si>
  <si>
    <t>Grisela Peralta, compra de refrescos y agua para cuadrilla de poda y limpieza parque</t>
  </si>
  <si>
    <t>Electropura S. de R.L. de C.V., compra de 3 garafones de agua</t>
  </si>
  <si>
    <t>Hector Vàzquez, pago por doblar, engrapar y entregar casa por casa circular en todo f</t>
  </si>
  <si>
    <t>Advanced Servicio y Còmputo, pago por arreglo pluma  y compra de hasing conectores</t>
  </si>
  <si>
    <t>Manuel Flores, pago por 120 almuerzos para cuadrilla delegaciòn varios trabajos fracc</t>
  </si>
  <si>
    <t>Sabina Pèrez, pago de 27 almuerzos para cuadrilla de poda del parque</t>
  </si>
  <si>
    <t>Centro de Copiado y Papelerìa, pago de 450 juegos de 4 copias</t>
  </si>
  <si>
    <t>Grisela Peralta, compra de refrescos y acua para cuadrilla que se quedaron a trabajar</t>
  </si>
  <si>
    <t>Gloria Mazzòn, pago por captura de datos del 25 al 29 de julio/16</t>
  </si>
  <si>
    <t>Pedro Cortes, pago pr recolecciòn de basura todo el mes entre semana</t>
  </si>
  <si>
    <t>Roberto Miranda, pago 2da quincena julio por recoger y barrer basura toda la semana</t>
  </si>
  <si>
    <t>Artemio Mora Torres, pago 2da. Quincena del mes de julio/16</t>
  </si>
  <si>
    <t>Guardias y Custodías Gama, pago 2da quincena del mes de julio/16</t>
  </si>
  <si>
    <t>Grisela Peralta Portugal, pago 2da. Quincena del mes de julio/16</t>
  </si>
  <si>
    <t>Guardias y Custodìas Gama, a/c pago de la primer quincena del mes de agosto</t>
  </si>
  <si>
    <t>Sabina Pèrez pago de 8 almuerzos para persoanal de recolecciòn de pasto</t>
  </si>
  <si>
    <t>Electropura, S. de R.L. de C.V., compra de 6 garrafones de aguas</t>
  </si>
  <si>
    <t>Alberto Reyes, comida para 8 personas de la delegacilòn trabajo de ejercitadores</t>
  </si>
  <si>
    <t>Guardìas y Custodìas Gama, a/c pago de la primer quincena del mes de agosto</t>
  </si>
  <si>
    <t>Advanced Servicio CCTV y Còmputaciò, mano de obra en instalaciònes de 2 camaras</t>
  </si>
  <si>
    <t>Luis Hernàndez, pago por repraraciòn de chapa puerta Estopila</t>
  </si>
  <si>
    <t>Cadena Comercial Oxxo, S.A. de C.V., compra de café y refrescos mesa de cobranza</t>
  </si>
  <si>
    <t>Ing. Jorge Vàzquez, compra de 4 tornillos de expanciòn</t>
  </si>
  <si>
    <t>Advanced Servicio CCTV y Còmputo, pago de 1 respaldo video reja estopila</t>
  </si>
  <si>
    <t>Nueva Walart de Mèxico, S de R.L. de C,V, compra de galletas junta mesa directiva</t>
  </si>
  <si>
    <t>Office Dpot de Mèxico, S.A. de C.V. compra de toner Brother, presidencia</t>
  </si>
  <si>
    <t>Electropura, S. de R.L. de C.V., compra de 5 garrafones</t>
  </si>
  <si>
    <t>Advanced Servicio CCTV y Còmputo, pago de 1 respaldo video Cuchilla y Romeral</t>
  </si>
  <si>
    <t>Advanced Servicio CCTV y Còmputo, compra de un perfil de aluminio base para camara</t>
  </si>
  <si>
    <t>Cadena Comercial Oxxo, S.A. de C.V. compra de refrescos personal trabajadores parque</t>
  </si>
  <si>
    <t>Cadena Comercial Oxxo, S.A. de C.V., compra de papel de baño para caseta Romeral</t>
  </si>
  <si>
    <t>Sabina Pèrez, pago de almuerzos para personal que trabaja en el kiosko lunes a miercole</t>
  </si>
  <si>
    <t>Grisela Peralta, compra de refrescos y botanas para trabajadores delegación</t>
  </si>
  <si>
    <t>Grisela Peralta, compra de refrescos y botanas para trabajadores que estan señalizando</t>
  </si>
  <si>
    <t>Gloria Mazzón, pago por captura de datos del 01 al 05 de agosto 16</t>
  </si>
  <si>
    <t>Sabina Pérez, pago de 7 almuerzos de $ 20 pesos para trabajadores de expanada en kiosco</t>
  </si>
  <si>
    <t>Olegario Vázquez, pago por cortar pasto en caseta Romeral</t>
  </si>
  <si>
    <t>Patrulla 007, pago en apoyo por ayudar a checar jovenes sospechos dentro del fraccionamiento</t>
  </si>
  <si>
    <t>Gloria Mazzón, pago en apoyo de cobranza domingo 07</t>
  </si>
  <si>
    <t>Advanced Servicio CCTV y Cómputo, pago por reparación de computadora de mesa directiva</t>
  </si>
  <si>
    <t>Electropura, S. de R.L. de C.V. compra de 8 garrafones de agua</t>
  </si>
  <si>
    <t xml:space="preserve">Luis Hernández, pago por reparación de chapa de Estopila </t>
  </si>
  <si>
    <t>Osvaldo Campos, pago a camión de recolector de escombros y basura de Estopila y Landero</t>
  </si>
  <si>
    <t>Grisela Peralta, compra de pegamento para reparar caseta</t>
  </si>
  <si>
    <t>Magic Led, compra de material para electríco para alumbrado interior kiosko</t>
  </si>
  <si>
    <t>Electrica Saavedra, S.A. de C.V., compra de material electrico para alumbrado interior kiosko</t>
  </si>
  <si>
    <t>División Bombas, compra de 1 motosierra toolcrft 22¨ para donación al cuerpo de bomberos</t>
  </si>
  <si>
    <t>Ferrecompre, compra de taladro recargable para trabajos varios en el fraccionamiento</t>
  </si>
  <si>
    <t>Cadena Comercial Oxxo, S.A. de C.V., compra de refrescos para personal delegación trabajos parque</t>
  </si>
  <si>
    <t>Jorge Calderon, compra de tortas para persoanal de la delegación trabajando parque explanada</t>
  </si>
  <si>
    <t>Roberto Miranda, pago en apoyo de limpieza en todo el fraccionamientos durante mes de julio y ago</t>
  </si>
  <si>
    <t>Nueva Walmart de México, S de R.L. de C.V., compra de material de limpieza para casetas</t>
  </si>
  <si>
    <t>Nueva Walmart de México, S de R.L. de C.V., compra de dosificador de agua para caseta</t>
  </si>
  <si>
    <t>Telefonos de México, SAB, S.A. de C.V., pago de telefono de mayo/16</t>
  </si>
  <si>
    <t>Gloria Mazzón, pago por captura de datos del 08 al 12 de agosto/16</t>
  </si>
  <si>
    <t>Advanced Servicio CCTV y Cómputo, pago por cambio de ventilador de Laptop de mesa directiva</t>
  </si>
  <si>
    <t>Servicio División, S.A. de C.V. gasolina para Grisela Peralta mesa directiva</t>
  </si>
  <si>
    <t>Sabina Pérez, pago de 3 comidas para personal delegación trabajo de horas extras</t>
  </si>
  <si>
    <t>Centro de Copiado y Papelería, pago de 450 copias b/n</t>
  </si>
  <si>
    <t>Advanced Servicio CCTV y Cómputo, compra de tarjetas electronicas acceso pluma</t>
  </si>
  <si>
    <t>Sabina Pérez, pago de 32 desayunos para personal delegación trabajo de explanada kiosco</t>
  </si>
  <si>
    <t>Grisela Peralta, compra de 1 canasta de frustas para Elena Osorio de la mesa directiva, fue operada</t>
  </si>
  <si>
    <t>Advanced Servicio CCTV y Cómputo, pago mano de obra de software de lapto mesa directiva</t>
  </si>
  <si>
    <t>Constantino Cabrera, compra de material para poda de pasto del parque del fraccionamiento</t>
  </si>
  <si>
    <t>Patrulla 007, pago en apoyo a vigilar un auto que se quedo encerrado en auto Landero 2</t>
  </si>
  <si>
    <t>Olegario Vázquez, pago por reparación de bicicleta para rondines en el fraccionamiento</t>
  </si>
  <si>
    <t xml:space="preserve">Grisela Peralta, compra de tortas para persoanal delegación </t>
  </si>
  <si>
    <t xml:space="preserve">Luis Hernandez, pago  del 50% por trabajo en tapa de registro </t>
  </si>
  <si>
    <t>Luis Hernández, pago liq. 50%  por trabajo de terminación y entrega de registro en esq. Landero</t>
  </si>
  <si>
    <t>Pedro Bazzan, pago por recolección de basura fin de semana</t>
  </si>
  <si>
    <t>Patrulla 007, en apoyo por ayudar a localizar dueño predio cuchilla</t>
  </si>
  <si>
    <t>Francisco Daniel Pérez, pogo por limpieza, arreglo y pintura de la caseta de Zinampa</t>
  </si>
  <si>
    <t>Francisco Daniel Pérez, compra de cepillo y brocha mantenimiento caseta Zinampa</t>
  </si>
  <si>
    <t>Cadena Comercial Oxxo S.A. de C.V. compra de refrescos y agua para vigilancia y mesa de cobranza</t>
  </si>
  <si>
    <t>Roberto Miranda, pago 1er quincena por recoleccion de basura y barrer toda la colonia entre semana</t>
  </si>
  <si>
    <t>Artemio Mora Torres, pago 1er quincena del mes de agosto/16</t>
  </si>
  <si>
    <t>Grisela Peralta Portugal, pago 1er qincena del mes de agosto/16</t>
  </si>
  <si>
    <t>Guardias y Custodías Gama,  liquidación pago 1er quincen del mes de agosto/16</t>
  </si>
  <si>
    <t>Gloria Mazzòn, pago en apoyo de cobranza domingo 31 de julio/16</t>
  </si>
  <si>
    <t xml:space="preserve">Siegris Contadores Públicos, pago de honorarios mes de agosto/16 </t>
  </si>
  <si>
    <t>SAT Servicio de Administracion Tribuitaria, pago agosto/16 I.V.A. colegio Carmel</t>
  </si>
  <si>
    <t>Advanced Servicio CCTV y Cómputo, compra de 2 botes de aire comprimido</t>
  </si>
  <si>
    <t>Estacionamiento y valet parking, visita contador Siegrist</t>
  </si>
  <si>
    <t>Sabine Pérez. Pago de 48 almuerzos para personal de delegación trabajos explanada kiosco</t>
  </si>
  <si>
    <t>Servicio Robledo, S.A. de C.V. Grisela Peralta, pago de gasolina visita contador</t>
  </si>
  <si>
    <t>Sr. Arturo, compra de tacos y refrescos para personal delegación trabajos en el parque explanada</t>
  </si>
  <si>
    <t>Advanced Servicio CCTV y Cómputo, pago de limpieza y rectificación caseta cuchilla y estopila DVR</t>
  </si>
  <si>
    <t>Advanced Servicio CCTV y Cómputo, reparación de pluma vehicular entrada ZB desmontr y enderezado</t>
  </si>
  <si>
    <t>Asunción, a/c de la 1er quincena de agosto/16</t>
  </si>
  <si>
    <t>Imagen Publicitaria, compra dd 1000 recibos de cobranza ch. #37</t>
  </si>
  <si>
    <t>Gloria Mazzón, pago por captura de datos del 15 al 19 de agosto/16</t>
  </si>
  <si>
    <t>Office Depot de México, S.A. de C.V. compra de boligrafos y cartuchos para tesoreria</t>
  </si>
  <si>
    <t>Constantino Cabrera, pago por cortar pasto toda una semana</t>
  </si>
  <si>
    <t>Electropura, S de R.L. de C.V., compra de 9 garrafones de agua</t>
  </si>
  <si>
    <t>Administradora Auriga, S.A. de C.V. pago de gasolina para mesa directiva (Grisela Peralta</t>
  </si>
  <si>
    <t>Cadena Comercial Oxxo, S.A. de C.V. compra de refrescos y agua para mesa de cobranza y vigilancia</t>
  </si>
  <si>
    <t>Camión de basura, apoyo por un elemento de ello que tube un accidente</t>
  </si>
  <si>
    <t>Camión de basur, pago por llevarse todo el pasto podado por Constantino</t>
  </si>
  <si>
    <t>Grisela Peralta, propina para mesero del cuartel de bomberos, visita de la mesa directiva</t>
  </si>
  <si>
    <t>Patrulla 007, compensación en apoyo en campaña de no estacionarse en entradas y salidas colegio</t>
  </si>
  <si>
    <t>Gloria Mazzón, pago en apoyo de cobranza domingo 21 agosto/16</t>
  </si>
  <si>
    <t>Luis Hernández, adelanto de compra de materiales para repración de techo del circuito de zinampa</t>
  </si>
  <si>
    <t>Patrulla 007, compensación en apoyo durante mañanas y tardes entrega de circulares colegio</t>
  </si>
  <si>
    <t>Grisela Peralta, compra de calculadora, 2 cortinas de baño casetas y estacionamiento centro</t>
  </si>
  <si>
    <t>Advanced Servicio CCTV y Cómputo, compran de bobina de cable UTP en Upacuaro y Landero</t>
  </si>
  <si>
    <t>Tecnoplaza Electrónica, S.A. de C.V., a/c de bobutp-x ch. # 39</t>
  </si>
  <si>
    <t>Cerrajeria Gran Sur, compra de 30 llaves travex</t>
  </si>
  <si>
    <t>Guardias y Custodías Gama, pago de la 2da. Quincena de agosto/16</t>
  </si>
  <si>
    <t>Patrulla 007, compensación por apoyo por las mañanas en colegio para no estacionarse entradas y sal</t>
  </si>
  <si>
    <t xml:space="preserve">Tecnoplaza Electrónica, S.A. de C.V., liquidación de bobutp-x </t>
  </si>
  <si>
    <t>Electropura, S. de R.L. de C.V., compra de 9 garrafones de agua</t>
  </si>
  <si>
    <t xml:space="preserve">Centro de Copiado y Papelerìa, pago de 10 ampliaciones </t>
  </si>
  <si>
    <t>Centro de Copiado y Papelerìa, pago de 52 copias</t>
  </si>
  <si>
    <t>Constantino Cabrera, pago por poda en el parque</t>
  </si>
  <si>
    <t>Sr. Daniel pago en apoyo de trabajos en caseta zinampa</t>
  </si>
  <si>
    <t>Camiòn de basura, pago por llevarse basura en costales  de Recoveco</t>
  </si>
  <si>
    <t>Patrulla 007, compra de gasolin para  rondin en fraccionamiento</t>
  </si>
  <si>
    <t>Jose Asunciòn, compensacion en trabajos de mesa directiva</t>
  </si>
  <si>
    <t xml:space="preserve">Cadena Comercial Oxxo, S.A. de C.V. compra de café </t>
  </si>
  <si>
    <t xml:space="preserve">Cadena Comercial Oxxo, S.A. de C.V. compra de jugo </t>
  </si>
  <si>
    <t>Olegario Vàzque, pago por poda de 2 àrbolitos que tapan camra en Romeral</t>
  </si>
  <si>
    <t>Office Depot de Mèxico, S.A. de C.V., compra de toner Brother</t>
  </si>
  <si>
    <t>Cadena Comercial Oxxo, S.A. de C.V. compra de refrescos para mesa de cobranza domingo</t>
  </si>
  <si>
    <t>Roberto Miranda, pago 2da. Quincena por barrer todo el fraccionamiento de lunes a viernes</t>
  </si>
  <si>
    <t>Roberto Miranda, pago por llevarse todo el pasto podado de la 1er y 2da. Semana</t>
  </si>
  <si>
    <t>Electropura, S. de R.L. de C.V. compra de 9 garrafones de agua</t>
  </si>
  <si>
    <t>Gloria Mazzòn, pago en apoyo de cobranza domingo 28 de agosto/16</t>
  </si>
  <si>
    <t>Advanced Servicio CCTV y Còmputo, compra de un portafolio para laptop</t>
  </si>
  <si>
    <t>Advanced Servicio CCTV y Còmputo, compra de 5 memorias USB</t>
  </si>
  <si>
    <t>Advanced Sercicio CCTV y Còmputo, pago por 1 respaldo de video</t>
  </si>
  <si>
    <t>Pedro Cortes, pago por recolecciòn de basura todo el mes</t>
  </si>
  <si>
    <t>Artemio Mora Torres, pago 2da quincena del mes de agosto/16</t>
  </si>
  <si>
    <t>Grisela Peralta Portugal, pago 2da. Quincena del mes de agosto/16</t>
  </si>
  <si>
    <t>Gloria Mazzón, pago por captura de datos del 22 al 26 de agosto/16</t>
  </si>
  <si>
    <t>Distribuidora Biclicletas Benotto, compra de llantas para bicicleta de vigilancia Gama</t>
  </si>
  <si>
    <t>Cadena Comercial Oxxo, S.A. de C.V., compra de refrescos para personal del parque juegos</t>
  </si>
  <si>
    <t>Electropura, S. de R.L. de C.V., copra de 7 garrafones de agua</t>
  </si>
  <si>
    <t>Pastelerìa La Esperanza, compra de café para junta de mesa directiva</t>
  </si>
  <si>
    <t>Administraciòn Auriga, S.A. de C.V. compra de gasolina mesa directiva compra de adornos fraccionami</t>
  </si>
  <si>
    <t>Gloria Mazzòn, pago de captura de datos del 29 de agosto al 02 de septiembre/16</t>
  </si>
  <si>
    <t>Patrulla 007, compensaciòn en apoyo en platica con vecinos respecto a los art. Para aliniamento en fracc</t>
  </si>
  <si>
    <t>Luis Hernàndez,  terminaciòn de trabajo techumbre al cuarto de guardia de zinampa</t>
  </si>
  <si>
    <t>Cadena Comercial Oxxo, S.A. de C.V., compra de refrescos para persoanal delegaciòn alumbrado parque</t>
  </si>
  <si>
    <t>Ferre Electrica Dìaz, compra de 4 mt. Cable para alumbrado del parque</t>
  </si>
  <si>
    <t xml:space="preserve">Alberto, pago de 2 almuerzo para peronal de vigilancia por trabajo de adornar caseta vigilancia </t>
  </si>
  <si>
    <t>Modatelas SAPI de C.V., compra de adornos para todo el fraccionamiento para el 15 de septiembre</t>
  </si>
  <si>
    <t>Modatelas SAPI de C.V., compra de bandera para kiosco</t>
  </si>
  <si>
    <t>La Pape, compra de plumas azul de gel para cobranza</t>
  </si>
  <si>
    <t>Jose Asunciòn Dominguez, pago en apoyo por adornar todo el kiosco</t>
  </si>
  <si>
    <t>Constantino Cabrera, pago por poda de pasto de 2 horas diarias de trabajo en el parque</t>
  </si>
  <si>
    <t>Cadena Comercial Oxxo, S.A. de C.V. compra de café para mesa de cobranza</t>
  </si>
  <si>
    <t>Pedro Bazzan, pago por recolecciòn de basura en todo el fracionamiento los fines de semana</t>
  </si>
  <si>
    <t>Pedro Bazzan, pago por llevarse 6 costales de pasto podado en la semana por constantino cabrera</t>
  </si>
  <si>
    <t>Cadena Comercial Oxxo, S.A.A de C.V. compra de refrescos para personal del kiosco en votaciones</t>
  </si>
  <si>
    <t>Advanced Servicio CCTV y Còmputo, compra de eliminador para lato lector</t>
  </si>
  <si>
    <t>Advanced Servicio CCTV y Còmputo, pago por reparaciòn de alimentaciòn de voltaje de plato lector a tar</t>
  </si>
  <si>
    <t>Advanced Servicio CCTV y Còmputo, pago de 2 respaldos en 3 circuitos para ver jovenes tomando en EP</t>
  </si>
  <si>
    <t>Electropura, S. de R.L. de C.V., compra de 10 garrafones de agua</t>
  </si>
  <si>
    <t>Cremarìa, compra de tortas para personal de kiosco por votaciones</t>
  </si>
  <si>
    <t>Centro de Copiado y Papelererìa, pago de 80 copias</t>
  </si>
  <si>
    <t>Sabina Perez, pago de 5 copidas para personal de vigilancia en cuestion de asalto a upacuaro 118</t>
  </si>
  <si>
    <t>Luis Hernàndez, pago por repraciòn y diagnostico de alteraciòn de chapa de RV, EP y ZB</t>
  </si>
  <si>
    <t>Luis Heràndez, pago en adelanto de compostura de puerta del kioco</t>
  </si>
  <si>
    <t>Advanced Servicio CCTV y Còmputo, pago de videos en diferentes turnos trabajo de 24 horas</t>
  </si>
  <si>
    <t>Advanced Servicio CCTV y Còmputo, pago de video de EP cuando entra la señora de aseo de upacuaro 118</t>
  </si>
  <si>
    <t>Cremerìa, pago de tortas para trabajadores del parque de juegos ejercitadores</t>
  </si>
  <si>
    <t>Gloria Mazzòn, pago de captura de datos del 05 al 09 de septiembre/16</t>
  </si>
  <si>
    <t>Office Depto de Mèxico, S.A. de C.V., pago de 640 copias informe al fraccionamiento</t>
  </si>
  <si>
    <t>Tiendas Chedraui S.A. de C.V., compra de material de limpieza para casetas del fraccionamiento</t>
  </si>
  <si>
    <t>Tiendas Chedraui S.A. de C.V., compra de papelerìa para Presidencia</t>
  </si>
  <si>
    <t>Luis Hernàndez, pago por repraciòn y diagnostico de chapa ZB y copra de materiales para las mismas</t>
  </si>
  <si>
    <t>Grisela Peralta, pago a jovenes para entrega de imforma al fraccionamiento</t>
  </si>
  <si>
    <t>Advanced Servicio CCTV  y Còmputo, pago 1 respaldo de video en pluma</t>
  </si>
  <si>
    <t>Constantino Cabrera, pago por corte de pasto toda la semana</t>
  </si>
  <si>
    <t>Advanced Servicio CCTV y Còmputo, pago mano de obra en instalaciòn de camara CL y RM</t>
  </si>
  <si>
    <t>Advanced Servicio CCTV y Còmputo, compra de disco duro 500 GB para DVR ubicado en RM</t>
  </si>
  <si>
    <t>Pedro Bazzan, pago por recolecciòn en todo el fraccionamiento fin de semana</t>
  </si>
  <si>
    <t>Cadena Comercial Oxxo, S.A. de C.C. compra de café para mesa de cobranza</t>
  </si>
  <si>
    <t>Cadena Comercial Oxxo, S.A. de C.V. compra de vasos para mesa de cobranza</t>
  </si>
  <si>
    <t>Sr. Roberto, pago por enterrar y pintar tronco en parque</t>
  </si>
  <si>
    <t>Electropura, S. de R.L. de C.V., compra de 7 garrafones de agua</t>
  </si>
  <si>
    <t>Patrulla 007, apoyo en cuadrante para repartir cirlar codigo civil mascotas al fraccionamiento</t>
  </si>
  <si>
    <t>Telefonos de Mèxico, SAB de C.V. pago del mes de agosto/16</t>
  </si>
  <si>
    <t>Luis Hernàndez, pago terminaciòn de reparaciòn puerta kiosco</t>
  </si>
  <si>
    <t>Ferre Electrica Dìaz, compra de material para instalar alumbrado en kiosco</t>
  </si>
  <si>
    <t>Jose Hurtado, pago por instalaciòn de luz interna en kiosco por dentro</t>
  </si>
  <si>
    <t>Patrulla 007, compensaciòn en apoyo campaña de civica relacionada con mascotas</t>
  </si>
  <si>
    <t>Dulcerìa, compra de bolsas para campaña civica relacionada con mascotas</t>
  </si>
  <si>
    <t>Vecina nos vencio cajas de galletas para platica en kiosco</t>
  </si>
  <si>
    <t>Cadena Comercial Oxxo, S.A. de C.V., compra de refrescos platica en kiosco mascotas</t>
  </si>
  <si>
    <t>Daniel Gamma, compensaciòn en apoyo de cargar lainas y aparatos kiosco</t>
  </si>
  <si>
    <t>Luis Hernàndez, pago por arregar chapa ZB y aterial para bajada de agua de caseta de zinampa</t>
  </si>
  <si>
    <t>Advanced Servicio CCTV y Còmputo, pago por calibracoiòn de pluma de tornillos y rondanas</t>
  </si>
  <si>
    <t>Office Depto de Mèxico, S.A. de C.V., compra de recibos y copias</t>
  </si>
  <si>
    <t>Advanced Servicio CCTV y Còmputo, pago por intalaciòn y diferencia de disco duro caseta romeral y upacu</t>
  </si>
  <si>
    <t>Roberto Miranda, pago por barrer toda la colonia y Romeral en primer quincena septiembre/16</t>
  </si>
  <si>
    <t>Roberto Miranda, pago por recolecciòn del pasto que constantino podo en la segunada semana septiembre</t>
  </si>
  <si>
    <t>Vigilancia, pago de cena para personal de vigilancia del 15 septiembre/16</t>
  </si>
  <si>
    <t>Servicio Robledo, S.A. de C.V. gasolina Grisela Peralta, compras del fraccionamiento</t>
  </si>
  <si>
    <t>Artemio Mora Torres, pago 1er quincena del mes de septiembre/16</t>
  </si>
  <si>
    <t>Guardias y Custodías Gama,  liquidación pago 1er quincen del mes de septiembre/16</t>
  </si>
  <si>
    <t>Grisela Peralta Portugal, pago 1er qincena del mes de septiembre/16</t>
  </si>
  <si>
    <t>Gloria Mazzòn, pago por captura de datos del 12 al 16 de septiembre/16</t>
  </si>
  <si>
    <t>Constantino Cabrera, pago por poda de la segunda semana de septiembre</t>
  </si>
  <si>
    <t>Pedro Bazzan, pago por recoleciòn de basura fin de semana</t>
  </si>
  <si>
    <t>Cadena Comercial Oxxo, S.A. de C.V. compra de café y refrescos para mesa de cobranza domingo</t>
  </si>
  <si>
    <t>Advanced Servicio CCTV y Còmputo, pago de 2 tranceptores y conectores de tendido cheque #41</t>
  </si>
  <si>
    <t>Advanced Servicio CCTV y Còmputo, compra de 30 tarjetas procard cheque # 43</t>
  </si>
  <si>
    <t>Gloria Mazzòn, pago en apoyo de cobranza del domingo 18 de septiembre/16</t>
  </si>
  <si>
    <t>Personal Gama, para compra de tornillos para la bicicleta de rondines del fraccionamiento</t>
  </si>
  <si>
    <t>Estacionamiento, pago de estacionamiento y propina en la visita al contador Siegrist</t>
  </si>
  <si>
    <t>Tienda, compra de café y galletas en la visita al contador Siegrist</t>
  </si>
  <si>
    <t>Administraciòn Auriga, S.A. de C.V. compra de gasolina Grisela Peralta, visita al contador Siegrist</t>
  </si>
  <si>
    <t>Electropura, S. de R.L. de C.V., compra de 11 garrafones de agua</t>
  </si>
  <si>
    <t>Centro de Copiado del Sur, pago de copias</t>
  </si>
  <si>
    <t>Centro de Copiado y Papelerìa, pago de 450 copias tamaño carta</t>
  </si>
  <si>
    <t>Camion basura, pago por recolecciòn basura de escombros RV</t>
  </si>
  <si>
    <t>SAT Servicio de Administracion Tribuitaria, pago sep/16 I.V.A. colegio Carmel cheque #45</t>
  </si>
  <si>
    <t>Siegris Contadores Públicos, pago de honorarios mes de sep/16 cheque #44</t>
  </si>
  <si>
    <t>Advanced Servicio CCTV y Còmputo, pago por tendido de una camara con trnaseptores y compra 1 DVR</t>
  </si>
  <si>
    <t>Motosierras y Equipos, compra de 1 dezmalezadora Stihl para poda de pasto en parque del fracc.</t>
  </si>
  <si>
    <t>Marìa Teresa Del Pozo, pago por fumigaciòn en parque del fraccionamiento</t>
  </si>
  <si>
    <t>Gustavo Gil, pago por arreglar 2 luminarìas, una reconecciòn y fotocelda.</t>
  </si>
  <si>
    <t>Constantino Cabrera, compra de gasolina y herraminetas para la poda del parque del fraccionamiento</t>
  </si>
  <si>
    <t>Tienda, compra de refrescos para personal que arreglo luminarìas en el parque</t>
  </si>
  <si>
    <t>Gloria Mazzòn, pago por captura de datos del 19 al 24 de Septiembre del 2016</t>
  </si>
  <si>
    <t>Constantino Cabrera, pago por poda de pasto de una semana</t>
  </si>
  <si>
    <t>Comercializadora Caspin, S.A. de C.V. compra de brocha y rodillo para pintar casetas</t>
  </si>
  <si>
    <t>cadena Comercial Oxxo, S.A. de C.V., compra de café y agua para la mesa de cobranza de domingos</t>
  </si>
  <si>
    <t>Pedro Bazzan, pago por recolección de basura en fin de semana</t>
  </si>
  <si>
    <t>Daniel grupo Gama, pago por pintar puerta de kiosco por dentro y por fuera</t>
  </si>
  <si>
    <t>Daniel grupo Gama, pago por impermeabilizartecho caseta Zinampa</t>
  </si>
  <si>
    <t>Patrulla 007, compensación por quitar camión con WC en Landero y Hueso (tianguis)</t>
  </si>
  <si>
    <t>Pedro Bazzan, pago por recolección de pasto en el parque podado por sr. Constantino</t>
  </si>
  <si>
    <t>Gloria Mazzón, pago en apoyo en cobranza domingo 25 de septiembre</t>
  </si>
  <si>
    <t>Comercializadora Caspin, S.A. de C.V., compra de brocha, escoba y rodillo para pintar techo caseta</t>
  </si>
  <si>
    <t>Advanced Servicio CCTV y Cómputo, pago de 1 respaldo de video cuchilla # 61</t>
  </si>
  <si>
    <t>Patrulla 007 compensación en apoyo visita a vecino en cuestión de limpieza de su animales</t>
  </si>
  <si>
    <t>Advanced Servicio CCTV y Cómputo, pago por configuración de 13 tarjetas</t>
  </si>
  <si>
    <t>Constantino Cabrera, pago por poda de pasto por 1 semana</t>
  </si>
  <si>
    <t>Roberto Miranda, pago 2da. Quincena por recolectar basura de lunes a viernes</t>
  </si>
  <si>
    <t>Roberto Miranda, pago por recolección de pasto de la 2da. Quincena</t>
  </si>
  <si>
    <t>Electropura, S. de R.L. de C.V., pago de 6 garrafones de agua</t>
  </si>
  <si>
    <t>Gloria Mazzón, pago por captura de datosd del 26 al 30 de septiembre/16</t>
  </si>
  <si>
    <t>Manuel Gama, pago por pintar las tres casetas del fraccionamiento</t>
  </si>
  <si>
    <t>Pedro Bazzan, pago por recolección de basura toda la 2da. Quincena</t>
  </si>
  <si>
    <t>Asunción Gama, pago por arreglar chapa estopila y lijarla</t>
  </si>
  <si>
    <t>The Home Depot, S. de R.L. de C.V. copra de tinner, escoba y lima para arreglar chapas de puertas</t>
  </si>
  <si>
    <t>Guardias y Custodías Gama, pago 2da quincena del mes de septiembre/16</t>
  </si>
  <si>
    <t>Grisela Peralta Portugal, pago 2da. Quincena del mes de septiembre/16</t>
  </si>
  <si>
    <t>Manuel Gama, pago por quitar todo los posters y anuncios fuera de la colonia</t>
  </si>
  <si>
    <t>Tlapalerìa y Ferreterìa El Hueso, compra de mastique para  vidrios de caseta Cuchilla y Estopila</t>
  </si>
  <si>
    <t>Cadena Comercial Oxxo, S.A. de C.V., copra de café y refrescos para mesa de cobranza domingo</t>
  </si>
  <si>
    <t>Patrulla 007 compensaciòn en apoyo visita a vecino que no deja pasar camiòn de la basura</t>
  </si>
  <si>
    <t>Pedro Bazzan, pago por recolecciòn de basura fines de semana</t>
  </si>
  <si>
    <t>Compra de café para mesa de cobranza domingo</t>
  </si>
  <si>
    <t>Gloria Mazzòn, pago en apoyo cobranza domingo 02 de octubre</t>
  </si>
  <si>
    <t>Telefonos de Mèxico, SAB de C.V. pago del mes de septimbre/16</t>
  </si>
  <si>
    <t>Nueva Walmart de Mèxico, S. de R.L. de C.V. compra de material de limpieza para casetas de vigilancia</t>
  </si>
  <si>
    <t>Nueva Walmart de Mèxico, S. de R.L. de C.V. compra de decoraciòn para quiosco dia de muertos</t>
  </si>
  <si>
    <t>Estacionamiento compra de limpieza y adornos</t>
  </si>
  <si>
    <t>Tiendas Chedraui, S.A. de C.V., compra de aerosol para pintar las botellas del parque que tienen bolsas</t>
  </si>
  <si>
    <t>Estacionamiento Cuemanco, compras</t>
  </si>
  <si>
    <t>Nueva Walmart de México, S de R.L. de C.V. compra de carpeta presidencia</t>
  </si>
  <si>
    <t>Advanced Servicio CCTV Servicio, pago de reparación de pluma de salida subida y bajada ajuste</t>
  </si>
  <si>
    <t>Asunción Gamma compra cloro para casetas de vigilancia</t>
  </si>
  <si>
    <t>Camión de basura, pago pr recolección de costales de escombros Estopila y Cafetales</t>
  </si>
  <si>
    <t>Manuel Flores, pago comida personal de explanda</t>
  </si>
  <si>
    <t>Gloria Mazzón, pago por captura de datos del 03 al 07 de octubre/16</t>
  </si>
  <si>
    <t>Roberto Gamma, pago por pintar la caseta de Zinampa</t>
  </si>
  <si>
    <t>Constantino cabrera, pago por podar pasto de todo el parque del fraccionamiento</t>
  </si>
  <si>
    <t>Starbucks Coffe Coapa, compra de 3 café para mesa de cobranza del domingo</t>
  </si>
  <si>
    <t>Pedro Bazzan, pago por recolleción de pasto podado</t>
  </si>
  <si>
    <t>Roberto Miranda paro por llevarse pasto en fin de semana.</t>
  </si>
  <si>
    <t>Electropura, S. de R.L. de C.V. compra de 10 garrafones de agua</t>
  </si>
  <si>
    <t>Office Depot de México, S.A. de C.V. compra de toner brother</t>
  </si>
  <si>
    <t>Estacionamiento Cuemanco, compra de toner brother</t>
  </si>
  <si>
    <t>Camión de basura, pago por llevarse todo el destajo de pieda y pasto de parque</t>
  </si>
  <si>
    <t>Servicio Robledo, S.A. de C.V., gasolina para Grisela Peralta, compras varias</t>
  </si>
  <si>
    <t>Gloria Mazzón, pago en apoyo cobranza del doingo 09 de octubre/16</t>
  </si>
  <si>
    <t>Manuel Olivares, compra de tornillos para repizas de caseta Romeral</t>
  </si>
  <si>
    <t>Grisela Peralta, compra de bolsas para forrar informe que se puso en puertas peatonales</t>
  </si>
  <si>
    <t>Centro de Copiado y Papelería, compra de tabla para hojas</t>
  </si>
  <si>
    <t>Mauel Olivares, pago por reparación de repizas de caseta Romeral</t>
  </si>
  <si>
    <t>Grisela Peralta, pago a chicos por repartir reporte a todo el fraccionamiento</t>
  </si>
  <si>
    <t>Grisela Peralta, pago por doblar todos los reportes que se repartieron en el fraccionamiento</t>
  </si>
  <si>
    <t>Centro de Copiado y Papelería, 2,250 copias de reporte financiero entragado al fraccionamiento</t>
  </si>
  <si>
    <t>Estacionamiento Operativos Mexicanos, visita a la delegación</t>
  </si>
  <si>
    <t>Arturo Carrillo, compra de tacos para vigilancia</t>
  </si>
  <si>
    <t>Compra de pizza a guardias de Zinampa por su buen desempeño</t>
  </si>
  <si>
    <t>Manuel Gama, compra de cloro y fabuloso para casetas</t>
  </si>
  <si>
    <t>Gloria Mazzón, pago por captura de datos del 10 al 14 de octubre/16</t>
  </si>
  <si>
    <t>Jony Pizza, compra de pizza para guardías de vigilancia caseta Romeral por su buen desempeño</t>
  </si>
  <si>
    <t>Roberto Miranda, pago barrer todo el fraccionamiento de lunea a viernes de la 1er quincena oct/16</t>
  </si>
  <si>
    <t>Pedro Bazzan, pago por recolección de basura en todo el fraccionamiento de lunes a viernes 1er quin</t>
  </si>
  <si>
    <t>Constantino Cabrera, pago por poda de pasto del 11 al 15 de octubre/16</t>
  </si>
  <si>
    <t>Estacionamiento Cuemanco, compra de una carpeta</t>
  </si>
  <si>
    <t>Guardias y Custodías Gama, pago de vigilancia de la 1er quincena de octubre</t>
  </si>
  <si>
    <t>Guardias y Custodías Gama, pago de vigilancia de la 1er quincena de octubre cheque #</t>
  </si>
  <si>
    <t>Grisela Peralta, pago de 1er quincena de octubre/16</t>
  </si>
  <si>
    <t>Pedro Bazza, pago por recolección de basura fines de semana</t>
  </si>
  <si>
    <t>Gloria Mazzòn, pago en apoyo cobranza domingo 16 de octubre/16</t>
  </si>
  <si>
    <t>Servicio El Hueso, S.A. de C.V., pago gasolina Grisela copras varias</t>
  </si>
  <si>
    <t>Fruterìa Marthita, copra de 2 arreglos frutales para dos miembros de la mesa directiva hospitalizados</t>
  </si>
  <si>
    <t>Camiòn de basura, recolecciòn de varas, troncos y pasto</t>
  </si>
  <si>
    <t>Asunciòn Gama, cmpra de tensores para landero # 39 sujetar cables de camara</t>
  </si>
  <si>
    <t>Sabina Pèrez, pago de comida delegaciòn de nuevos bancos del parque</t>
  </si>
  <si>
    <t>Cadena Comercial Oxxo, S.A. de C.V., compra de refrescos para personal que colocaron carpa parque</t>
  </si>
  <si>
    <t>Ferre-Electrica Dìaz, compra de hoja para lijar puertas del fraccionamiento</t>
  </si>
  <si>
    <t>Panerìas La Esperanza, S.A. de C.V., compra de desayuno para personas evento anual capilla parque</t>
  </si>
  <si>
    <t>Sabina Pèrez, pago de 4 desayunos para trabajadores de explanada bancos verdes</t>
  </si>
  <si>
    <t>Estacionaiento, visita al contador Siegrist</t>
  </si>
  <si>
    <t>Asunciòn Gama, compra de refacciones para bicicleta de rondines del fraccionamiento</t>
  </si>
  <si>
    <t>Cadena Comercial Oxxo, compra de refrescos para junta de mesa directiva</t>
  </si>
  <si>
    <t>Sabina Pèrez, pago de 7 desayunos para persoanal delegaciòn explanada bancos</t>
  </si>
  <si>
    <t>Benotto, compra de refacciones para bicicleta de rondines del fraccionamiento termino del trabajo</t>
  </si>
  <si>
    <t>Mercado de Miramonte, compra de adornos del dìa de Muertos para el fraccionamiento</t>
  </si>
  <si>
    <t>Siegrist Contadores Pùblicos, pago de honorarios del mes de octubre/16</t>
  </si>
  <si>
    <t>SAT Servicio de Administraciòn Tribuarìa, pago retenciòn IVA colegio carmel octubre/16</t>
  </si>
  <si>
    <t>Waldo's Dólar Mart de Mèxico, compra de adornes para fraccionamiento dìa de Muertos</t>
  </si>
  <si>
    <t>Pedro Bazzan, pago por recolecciòn de pasto</t>
  </si>
  <si>
    <t>Gloria Mazzòn, pago por captura de datos del 17 al 21 de octubre/16</t>
  </si>
  <si>
    <t>Estacionamiento Cuemanco, compra de varias cosas</t>
  </si>
  <si>
    <t>Constantino Cabrera, pago de poda del 18 al 22 de pasto en el parque</t>
  </si>
  <si>
    <t>Roberto Miranda, pago por recolecciòn de pasto</t>
  </si>
  <si>
    <t>Grisela Peralta, compra de accesorios para el dìa de muertos,</t>
  </si>
  <si>
    <t xml:space="preserve">Sra. Rebeca, pago por limieza del kiosco de 2 dìas, </t>
  </si>
  <si>
    <t>Roberto Miranda, pago de escoba y material de limpieza para el fraccionamiento</t>
  </si>
  <si>
    <t>Cadena Comercial Oxxo, S.A. de C.V. compra de café y refrescos para mesa de cobranza y vigilancia</t>
  </si>
  <si>
    <t>Nueva Walmart de Mèxico, S. de R.L. de C.V. compra de papel china</t>
  </si>
  <si>
    <t>Estacionamiento Cuemanco, pago estacionamiento compra de papel china</t>
  </si>
  <si>
    <t xml:space="preserve">Office Depot de Mèxico, S.A de C.V., compra de cinta corte facil colocaciòn de adornaos </t>
  </si>
  <si>
    <t>Office Depot de Mèxico, S.A de C.V., compra de papelerìa para presidencia</t>
  </si>
  <si>
    <t>Asunciòn Dominguez, pago de trabaos varios en el fraccionamiento</t>
  </si>
  <si>
    <t>Patrulla 007 compensaciòn en apoyo rondines de noche en el parque falta de luz dìa 22 octubre/16</t>
  </si>
  <si>
    <t>Patrulla 007 compensaciòn en apoyo rondines de noche en el parque falta de luz dìa 23 octubre/16</t>
  </si>
  <si>
    <t>Gloria Mazzòn, Soto, pago en apoyo cobranza del domingo 23 octubre/16</t>
  </si>
  <si>
    <t>Luis Hernàndez, pago por arreglo de techo en cuarto de lookers de vigilancia</t>
  </si>
  <si>
    <t>Sabina Pèrez, pago por guisados para la ofrena que se pueso en el kiosco del parque fraccionamien</t>
  </si>
  <si>
    <t>Centro de Copiado y Papelería, pago de 450 copiias informe al fracc y 1 DVD</t>
  </si>
  <si>
    <t>Grisela Peralta, compensación por pegar posters y quitar los que no sirven para información fracc.</t>
  </si>
  <si>
    <t>Papelería, pago por diseño y copias de circular información día de muertos</t>
  </si>
  <si>
    <t>Cuadrilla delegación, reparación de cables colgando Calz. Del Hueso, compra de refrescos</t>
  </si>
  <si>
    <t>Cuadrilla delegación, compensación por evaluar problemática alumbrado fraccionamiento</t>
  </si>
  <si>
    <t>Pastelería Bodon, S.A. de C.V., compra de dulces para festejo del día de muertos en explanada</t>
  </si>
  <si>
    <t>Tienda compra de bolsas para posters con información de evento del día de muertos</t>
  </si>
  <si>
    <t>Galerías Coapa, estacionamiento compras varias</t>
  </si>
  <si>
    <t xml:space="preserve">Centro de Copiado y Papelería, pago de copias </t>
  </si>
  <si>
    <t>Centro de Copiado y Papelería, compra de pegamento UHU para pegar engomados de plumas acceso</t>
  </si>
  <si>
    <t>Tradición en Pastelerías, S.A. de C.V. junta de mesa directiva</t>
  </si>
  <si>
    <t>Nueva Walmart de México, S. de R.L. de C.V. compra de 200 pan de muerto para evento kiosco</t>
  </si>
  <si>
    <t>Waldo´s Dólar Mart de México, S de R.L. de C.V. compra de jugos para niños de evento kiosco</t>
  </si>
  <si>
    <t>Tiendas Chedraui, S.A. de C.V., compra de articulos para adornar kiosco del fraccionamiento</t>
  </si>
  <si>
    <t xml:space="preserve">Osvaldo, pago por recolectar costal de escombros, pasto en parque y estopila </t>
  </si>
  <si>
    <t>Estacionamiento Cuemanco, compra de pan de muerto</t>
  </si>
  <si>
    <t>Gloria Mazzón, pago por captura de datos del 24 al 28 de octubre/16</t>
  </si>
  <si>
    <t>Olegario, pago por recorte de pasto de caseta Romeral</t>
  </si>
  <si>
    <t>Constantino Cabrera, pago por poda de pasto en el parque del 25 al 29 de octubre/16</t>
  </si>
  <si>
    <t>Cadena Comercial Oxxo, S.A. de C.V. compra de 1 garrafon de agua para caseta</t>
  </si>
  <si>
    <t>Cadena Comercial Oxxo, S.A. de C.V. compra de refrescos para mesa de cobranza y vigilancia</t>
  </si>
  <si>
    <t>Cadena Comercial Oxxo, S.A. de C.V., compra de cena para mesa directiva y vigilancia</t>
  </si>
  <si>
    <t>Daniel Gama, pago por colocar ofrenda domingo por la noche trabajo especial</t>
  </si>
  <si>
    <t>Rroberto Arambula, pago en apoyo a barrer toda la explanada y kiosco y traer equipo de audio</t>
  </si>
  <si>
    <t>Pedro Bazzan, pago por recolección de basura en todo el fraccionamiento de lunes a viernes 2da qui</t>
  </si>
  <si>
    <t>Roberto Miranda, pago por barrer todo el fraccionamiento de lunes a viernes 2da. Quincena</t>
  </si>
  <si>
    <t>Nueva Walmart de México, S.A. de R.L. de C.V. compra de pan de muerto para ofrenda kiosco</t>
  </si>
  <si>
    <t>Nueva Walmart de México, S.A. de R.L. de C.V., compra de accesorios para ofrenda</t>
  </si>
  <si>
    <t>Guardías y Custodías Gama, pago 2da quincena del mes de octubre/16 efectivo</t>
  </si>
  <si>
    <t>Grisela Peralta Portugal, pago 2da. Quincena de octubre/16</t>
  </si>
  <si>
    <t>Guardias y Custodías Gama,  liquidación pago 2da quincena  mes de octubre/16</t>
  </si>
  <si>
    <t>Camiòn de basura, pago por recolecciòn de pasto y tambien bolsas con escombros</t>
  </si>
  <si>
    <t>CFE, compra de refrescos, recuperaron en parque error en recoveco</t>
  </si>
  <si>
    <t>Servicio El Escudo, S.A. de C.V. gasolina para presidencia compras varias</t>
  </si>
  <si>
    <t>Personal Gama, pago por trabajos varios en el fraccionamiento</t>
  </si>
  <si>
    <t xml:space="preserve">Patrulla 007, compesaciòn en pratullaje de 3 dìas sin luz zona paque </t>
  </si>
  <si>
    <t>Electropura S. de R.L. de C.V., compra de 10 garrafones</t>
  </si>
  <si>
    <t>Gloria Mazzòn, pago por captura de datos del 31 de octubre al 04 de noviembre</t>
  </si>
  <si>
    <t>Advanced Servicio CCTV y Còmputo, pago por mano de obra en repracion de pluma</t>
  </si>
  <si>
    <t>Personal delegaciòn, apoyo en compra de cable 8 metros para iluminaciòn parque</t>
  </si>
  <si>
    <t>CFE, Compra de tarjeta de Non-Break regulador caseta Recoveco se fundio</t>
  </si>
  <si>
    <t>Advanced Servicio CCTV y Còmputo, compra de tornillerìa para pluma</t>
  </si>
  <si>
    <t>Personal delegaciòn, compensaciòn en apoyo reparaciòn luz en parque y Zinampa</t>
  </si>
  <si>
    <t>Advanced Servicio CCTV y Còmputo, compra de pieza slot led para tira pluma</t>
  </si>
  <si>
    <t>Israel Galàn Quintin, pago de 30 llaves puertas de accesor</t>
  </si>
  <si>
    <t>Constantino Cabrera, pago por podra pasto en parque 1 er semana noviembre</t>
  </si>
  <si>
    <t>Pedro Bazzan, pago por recolecciòn de basura en fin de semana</t>
  </si>
  <si>
    <t>Cadena Comercial Oxxo, S.A. de C.V. compra de café para mesa de cobranza domin</t>
  </si>
  <si>
    <t>Gloria Mazzòn, pago en apoyo en cobranza del domingo 06 noviembre</t>
  </si>
  <si>
    <t>Servicio Aleman, gasolina para Grisela Peralta, diferentes trabajos del fraccionamie</t>
  </si>
  <si>
    <t>Olegario Vàzquez, pago por corte de pasto de dos casetas</t>
  </si>
  <si>
    <t>Telefonos de Mèxico, SAB de C.V pago del mes de octubre/16</t>
  </si>
  <si>
    <t>Dogo Del Moral, S.A. de C.V. compra de materiales de limpieza para casetas</t>
  </si>
  <si>
    <t>Estacionamiento Cuemanco, pago estacionamiento compra de articulos de limpieza</t>
  </si>
  <si>
    <t>Office Depot de Mèxico, S.A. de C.V. compra de papelerìa para tesoreria</t>
  </si>
  <si>
    <t>Roberto Miranda, paro por recoleccion pasto podado</t>
  </si>
  <si>
    <t>Advanced Servicio CCTV y Còmputo, a/c de mano de obra en camara</t>
  </si>
  <si>
    <t>Advanced Servicio CCTV y Còmputo, pago por reparaciòn de No-Break Recoveco</t>
  </si>
  <si>
    <t>Advanced Servicio CCTV y Còmputo, compra de aterial para camaras Balum y conec</t>
  </si>
  <si>
    <t>Advanced Servicio CCTV y Còmputo, pago de mao de obra de 3 camaras cambio transeptores</t>
  </si>
  <si>
    <t>Constantino Cabrera, compra de material de trabajo para la poda de pasto fraccionamiento</t>
  </si>
  <si>
    <t>Nueva Walmar de Mèxico, S. de R.L. compra de te para caseas</t>
  </si>
  <si>
    <t>Gloria Mazzòn, pago por captura de datos del 05 al 09 de noviembre/16</t>
  </si>
  <si>
    <t>Constantino Cabrera, pago por poda de pasto 2da semana de noviembre</t>
  </si>
  <si>
    <t>Pedro Bazzan,  pago por recolecciòn de pasto podado</t>
  </si>
  <si>
    <t>Pedro Bazzan, pago por recolecciòn de basura en todo el fracc de lunes a viernes 1er quincena</t>
  </si>
  <si>
    <t>Siegrist Contadores Pùblicos, pago de honorarios del mes de noviembre/16 cheque #57</t>
  </si>
  <si>
    <t>SAT Servicio de Administraciòn Tribuarìa, pago retenciòn IVA colegio carmel noviembre/16 ch. # 58</t>
  </si>
  <si>
    <t>Grisela Peralta, pago de 1er quincena de noviembre/16</t>
  </si>
  <si>
    <t>Roberto Miranda, recolecciòn de basura de lunes a viernes, 1er quincena noviembre/16</t>
  </si>
  <si>
    <t>Estacionamiento Cuicuilco, junta mesa directiva con vecinas</t>
  </si>
  <si>
    <t>Benotto, pago por presupuesto de areglo bicicletas para dondines</t>
  </si>
  <si>
    <t>Paco Bicis, servicio completo a bibiclata de rondines del fraccionamientos</t>
  </si>
  <si>
    <t>Luis Hernández, pago por arreglo de chapa de Estanzuela llave atorada</t>
  </si>
  <si>
    <t>Servicio Robledo, S.A. de C.V., gasolina Grisela Peralta presedencia</t>
  </si>
  <si>
    <t>Personal Delegación, compensación por retiro de poste a punto de caer</t>
  </si>
  <si>
    <t>Patrulla 007, compensación por apoyo en rondines fin de semana</t>
  </si>
  <si>
    <t>Patrulla 007, compensación por apoyo en rodines y arreglar asuntos con borrachos que entraron al frac</t>
  </si>
  <si>
    <t>Patrulla 07, compensación en rondines y platica con vecinos que dejan desechos en parque</t>
  </si>
  <si>
    <t>Estacionamiento, visita a contador Siegrist</t>
  </si>
  <si>
    <t>Guardias y Custodías Gama, pago a/c de vigilancia de la 1er quincena de noviembre/16</t>
  </si>
  <si>
    <t>Advanced Servicio CCTV y Cómputo, configuración de 15 tarjetas procord</t>
  </si>
  <si>
    <t>Advanced Servicio CCTV y Cómputo, colocación de extención cable caseta Zinampa</t>
  </si>
  <si>
    <t>Pedro Bazza, pago por recolección de pasto podado</t>
  </si>
  <si>
    <t>Delegación, compensación a cuadrilla en apoyo de trabajos de luminarias en EZ y HS</t>
  </si>
  <si>
    <t xml:space="preserve">Patrulla 07, compensación en apoyo a patrullaje en parque por falta de luz </t>
  </si>
  <si>
    <t>Eduardo Chávez, trabajo de electricidad colocación de tierra física en Kiosco</t>
  </si>
  <si>
    <t>Cadena Comercial Oxxo, S.A. de C.V., compra de refrescos para asunción por apoyo reparcion bicicleta</t>
  </si>
  <si>
    <t>Asunción, compra de brocha para pintar pared de lamina para caseta de Romeral</t>
  </si>
  <si>
    <t>Luis Hernández, pago por desarmar completamente la cha de recoveco y limpiarla</t>
  </si>
  <si>
    <t>Gloria Mazzón, pago por captura de datos correspondiente del 14 al 18 de noviembre/16</t>
  </si>
  <si>
    <t>Constantino Cabrera, pago por poda de pasto parque del fracc., del 15 al 19 de noviembre/16</t>
  </si>
  <si>
    <t>Camón de basura, pago por recolección de pasto podado</t>
  </si>
  <si>
    <t>Luis Hernández, pago por reparación de cadena en calle de Upacuaro a Sr. Jorge Ramírez</t>
  </si>
  <si>
    <t>Nueva Walmar de México, S. de R.L. de C.V., compra detalle para evento MD con Delegación</t>
  </si>
  <si>
    <t>Grisela Peralta, apoyo a desayuno de la MD con la Delegación</t>
  </si>
  <si>
    <t>Estacionamiento, Visita a la delegación</t>
  </si>
  <si>
    <t>Paco Bicis, compra de un asiento y tornillos para bicicleta del fraccionamiento</t>
  </si>
  <si>
    <t>Office Depot de México, S.A. de C.V. compra de toner para presicencia</t>
  </si>
  <si>
    <t>Pedro Bazza, pago por recolección de basura en fin de semana</t>
  </si>
  <si>
    <t>Camión de Basura, pago por recolección de pasto podado en toda la semana</t>
  </si>
  <si>
    <t>Cadena Comercial Oxxo S.A. de C.V., compra de refrescos para personal delegación luminarias parque</t>
  </si>
  <si>
    <t>Paco Bicis, mantenimiento a bicileta de presidencia para trabajos  varios en el fraccionamiento</t>
  </si>
  <si>
    <t>Sabina Pérez, pago por comida para personal delegación luminarías</t>
  </si>
  <si>
    <t>Cadena Comercial Oxxo, S.A. de C.V. compra de café para presidencia y tesoria junta comandante fran</t>
  </si>
  <si>
    <t>Cadena Comercial Oxxo, S.A. de C.V., compra de refresco para jardinero del fraccionamiento</t>
  </si>
  <si>
    <t>Grisela Peralta, compra de 3 mesas de plastico para las diferentes actividades que se realizan kiosco</t>
  </si>
  <si>
    <t>Patrulla 07, compensación en apoyo en asistencia en diferentes casos del fraccionamiento</t>
  </si>
  <si>
    <t>Paco Bicis, pago una asiento para bicicleta del fraccionamiento</t>
  </si>
  <si>
    <t>Operadora Central de Estacionamiento, pago de estacionamiento varias compras</t>
  </si>
  <si>
    <t>Distribuidora El Bollo Cafetales S.A. de C.V. compra de pan para reuniòn mesa directiva</t>
  </si>
  <si>
    <t>Nueva Walmart de Mèxico, S. de R.L. de C.V. compra de café para casetas de vigilancia</t>
  </si>
  <si>
    <t>Grisela Peralta, compra de 1 celular para vigilancia gama para mejor comunicaciòn</t>
  </si>
  <si>
    <t>Distribuidora El Bollo Cafetales S.A. de C.V. compra de pan para cadeta Zinampa</t>
  </si>
  <si>
    <t>Distribuidora El Bollo Cafetales S.A. de C.V. compra de vela para pastel</t>
  </si>
  <si>
    <t>Distribuidora El Bollo Cafetales S.A. de C.V. compra de pastel para miembro de la mesa directiva</t>
  </si>
  <si>
    <t>Distribuidora El Bollo Cafetales S.A. de C.V. compra de partel para miembro de la mesa directiva</t>
  </si>
  <si>
    <t>Casa del Arbol, apoyo en abasto del fraccionamiento</t>
  </si>
  <si>
    <t>Cadena Comercial Oxxo, S.A. de C.V., compra de refrescos para reuniòn de la mesa directiva</t>
  </si>
  <si>
    <t>Guardías y Custodías Gama, pago liq. de vigilancia de la 1er quincena</t>
  </si>
  <si>
    <t>Guardias y Custodías Gama, pago a/c de vigilancia de la 2da quincena de noviembre/16</t>
  </si>
  <si>
    <t>Gloria Mazzòn, pago de honorarios por captura correspondiente del 21 al 25 de noviembre/16</t>
  </si>
  <si>
    <t>Advanced Servicio CCTV y Còmputo, pago por respaldo de video USB upacuaro 114</t>
  </si>
  <si>
    <t>Centro de Copiado y Papelerìa, pago de 1030 copias para informe fraccionamiento</t>
  </si>
  <si>
    <t>Constantino Cabrera, pago por poda de pasto en el parque fracc del 22 al 26 de noviembre/16</t>
  </si>
  <si>
    <t xml:space="preserve">Cartero, compensaciòn por su buen desempeño </t>
  </si>
  <si>
    <t>Grisela Peralta, compensaciòn en apoyo de entrega de circulares a todo el fracionamiento</t>
  </si>
  <si>
    <t>Patrulla 007, compensaciòn en apoyo de 20 elementos para acudir al fraccionamiento por problemas</t>
  </si>
  <si>
    <t>Cadena Comercial Oxxo, S.A. de C.V., compra de café y refrescos para mesa de cobranza y vigilancia</t>
  </si>
  <si>
    <t>Pedro Bazzan, recolecciòn de basura fin de semana</t>
  </si>
  <si>
    <t>Pedro Bazzan, pago por recolecciòn de pasto podado toda la semana</t>
  </si>
  <si>
    <t>Patrulla 007 compensaciòn en apoyo de rondines los domingo de cobranza del mes de diciembre</t>
  </si>
  <si>
    <t>Gloria Mazzòn, pago en apoyo en cobranza del domingo 27 de noviembre/16</t>
  </si>
  <si>
    <t>Asunciòn, prestamo personal</t>
  </si>
  <si>
    <t>C.F.E. compra de refrescos para personal en apoyo iluminaciòn parque</t>
  </si>
  <si>
    <t>Advanced Servicio CCTV y Còmputo, pago a/c de trabajos de camaras en la 2da calle de landero</t>
  </si>
  <si>
    <t>Sr. Ricardo, pago por llevarse escombros y ramas de Estopila y Estanzuela</t>
  </si>
  <si>
    <t>Tlapalerìa Jaimes, compra de material de limpieza</t>
  </si>
  <si>
    <t>ES 2895 Servicio Coapa, Grisela Peralta, gasolina para compras varias</t>
  </si>
  <si>
    <t>Daniel Gama, prestamo personal</t>
  </si>
  <si>
    <t>Panerìa La Esperanza, S.A. de C.V. compra de pan para personal de luminaciòn en el parque</t>
  </si>
  <si>
    <t>Guardias y Custodías Gama, pago liq. de vigilancia de la 2da quincena de noviembre/16 chq. #</t>
  </si>
  <si>
    <t>Roberto Miranda, pago por concepto de barrer todo el fraccionamiento de la 2da. Quincena</t>
  </si>
  <si>
    <t>Ferre-Electrica Dìaz, compra de cinta canela para pegar adornos en el fraccionamiento navideños</t>
  </si>
  <si>
    <t>Grisela Peralta Portugal, pago de la 2da quincena de noviembre/16</t>
  </si>
  <si>
    <t>Pedro Bazzan pago de la 2da. Quincena del mes de noviembre/16</t>
  </si>
  <si>
    <t>Sabine Pèrez, pago de 8 comidas personal delegaciòn para luminarias del parque</t>
  </si>
  <si>
    <t>Paco Bicis, pago de camara y rin, bicicleta del fraccionamiento</t>
  </si>
  <si>
    <t>Distribuidora Liverpool, S.A. de C.V., junta mesa directiva y delegaciòn</t>
  </si>
  <si>
    <t>Roberto Miranda, pago por cortar follaje en paque de lado Estanzuela</t>
  </si>
  <si>
    <t>Gloria Mazzòn, pago por captura de datos del 28 noviembre y 02 diciembre/16</t>
  </si>
  <si>
    <t>Office Depot de Mèxico, S.A. de C.V., compra de perforadora y cuaderno para presidencia</t>
  </si>
  <si>
    <t>Cadena Comercial Oxxo, S.A. de C.V. compra de botanas para junta directiva</t>
  </si>
  <si>
    <t>Manuel Gama, compensaciòn en apoyo de sacar abejas de lamparas tipo cigarro</t>
  </si>
  <si>
    <t>Imagen Publicitaria, pago de 3 lonas para informaciòn al fraccionamiento de eventos dic ch. 61</t>
  </si>
  <si>
    <t>Constantino Cabrera, pago poda pasto del 29 nov al 03 dic/16</t>
  </si>
  <si>
    <t xml:space="preserve">Cadena Comercial Oxxo, S.A. de C.V. café para mesa de cobranza y vigilancia </t>
  </si>
  <si>
    <t>Pedro Bazzan,  pago por recolecciòn de pasto jueves y viernes</t>
  </si>
  <si>
    <t>Centro de Copiado y Papelerìa, pago de 460 copias informaciòn a todo el fraccionamiento</t>
  </si>
  <si>
    <t>Mercado Miramontes, compra de piñatas para eveto en kiosco del fraccionamiento</t>
  </si>
  <si>
    <t xml:space="preserve">Los Unicos y Autenticos Tamales y Atole, compra de tamales para personal en apoyo dìa virgen </t>
  </si>
  <si>
    <t>Gloria Mazzòn, pago en apoyo a cobranza domingo 04/diciembre/16</t>
  </si>
  <si>
    <t>Centro de Copiado y Papelerìa, pago de 150 copias t. carta</t>
  </si>
  <si>
    <t>Sr Diego Linares, compra de tacos de canasta para vigilancia evento Virgen de Guadalupe</t>
  </si>
  <si>
    <t>Electropura, S de R.L. de C.V. compra de 10 garrafones de agua y 1 garrafon completo</t>
  </si>
  <si>
    <t>Sandra Hernàndez, pago de 5 arreglos navideños para personas de apoyos externos</t>
  </si>
  <si>
    <t>Grisela Peralta, compensaciòn a chicos por entregar y doblar informe, entregado casa por casa</t>
  </si>
  <si>
    <t>Floreria Lupita, compra de 3 arreglos para altar de la Virgen de Guadalupe en explanada parque fracc</t>
  </si>
  <si>
    <t>Camiòn baura, pago por limpieza de cascajo en el parque</t>
  </si>
  <si>
    <t>Manuel Gama, pago por ayudar desde las 8:30 de la mañana a cargar Virgen de Guadalupe</t>
  </si>
  <si>
    <t>Asunciòn Gama, pago por ayudar desde la 8:30 de la mañana a cargar Virgen de Guadalupe</t>
  </si>
  <si>
    <t>Siegrist Contadores Pùblicos, pago de honorarios de diciembre  y anualidad/16 cheque #63</t>
  </si>
  <si>
    <t>SAT Servicio de Administraciòn Tribuarìa, pago retenciòn IVA colegio carmel diciembre/16 ch. # 62</t>
  </si>
  <si>
    <t>Pastelerìa Bodon, S.A. de C.V., compra de botanas junta mesa directiva y vigilancia</t>
  </si>
  <si>
    <t>Pastelerìa Bodon, S.A. de C.V., compra de dulces para aguinaldos de posada del fraccionamiento</t>
  </si>
  <si>
    <t>Inmobiliaria Lirca, S.A. de C.V. pago gasolina para mesa directiva</t>
  </si>
  <si>
    <t>Advanced Servicio CCTV y Còmputo, a/c de bafle para fraccionamiento</t>
  </si>
  <si>
    <t>Sabine Pèrez, pago desayunos para vigilancia convivio de fin de año</t>
  </si>
  <si>
    <t>Jardinerìa Alvarez, compra de paca de musco para nacimiento en kiosco del fraccionamiento</t>
  </si>
  <si>
    <t>Jardinerìa Alvarez, compra de nacimientos y portal para kiosco del fraccionamiento.</t>
  </si>
  <si>
    <t>Centro de Copiado y Papelerìa, compra de papel craft y cinta canela para adornar kiosco</t>
  </si>
  <si>
    <t>Alimentos la Paloma, S.A. de C.V. compra de gelatina para dar pesame a compañero de mesa directiva</t>
  </si>
  <si>
    <t>Cadena Comercial Oxxo, S.A. de C.V., compra de pilas para control de bafle</t>
  </si>
  <si>
    <t>Mercado de Calzada del Hueso, compra de piñatas y fruta para posada del fraccionamiento</t>
  </si>
  <si>
    <t>Mercado de Calzada del Hueso, compra de ingredientes para ponche, para la posada del fracc</t>
  </si>
  <si>
    <t>Mercado de Calzada del Hueso, compra de piñata para posada</t>
  </si>
  <si>
    <t>Comercializadora Caspin, S.A. de C.V., compra de pintura en aerosol para pintar portal en kiosco</t>
  </si>
  <si>
    <t>Advanced Servicio CCTV y Còmputo, liq. De bafle amplificador de 15" para fraccionamiento</t>
  </si>
  <si>
    <t>Mercado de Calzada del Hueso, compra de fruta para ponche posada fraccionamiento</t>
  </si>
  <si>
    <t>Grisela Peralta, compra de varios articulos para rifa en posada del fraccionamiento</t>
  </si>
  <si>
    <t>Mercado de Calzada del Hueso, compra de lima para piñatas, posada del fraccionamiento</t>
  </si>
  <si>
    <t>Gloria Mazzòn, pago por captura de datos del 05 al 10 de diciembre/16</t>
  </si>
  <si>
    <t>Manuel Gama, compra de tacos para vigilancia en apoyo de la posada del fraccionamiento</t>
  </si>
  <si>
    <t>Papelerìa La Peque, compra de serie, estrella de luz, corona, arreglos y velas para posada</t>
  </si>
  <si>
    <t>Hector Vàzquez, pago por realizaciòn de DVR-USB para villansicos en posada.</t>
  </si>
  <si>
    <t>Mesa Directiva, compra de empanadas en compras de articulos para la posada del fraccionamiento</t>
  </si>
  <si>
    <t>Grisela Peralta, gratificaciònes anuales a personal de vigilancia y administrativas.</t>
  </si>
  <si>
    <t>Constantino Cabrera, pago poda pasto del 6 al 10 de diciembre/16</t>
  </si>
  <si>
    <t>Camiòn basura, pago por levantar cascajo, basura y desechos para realizar posada</t>
  </si>
  <si>
    <t>Roberto Gama, pago por barrer toda la explana y apoyo en evento posada en todo momento</t>
  </si>
  <si>
    <t>Sabine Pèrez, pago por cocinar ponche para posada del fraccionamiento</t>
  </si>
  <si>
    <t>Manuel Gama, pago en apoyo en traslado de ponche, ollas calientes y cargar todas la piñata.</t>
  </si>
  <si>
    <t>Constantino Cabrera, compra de material para poda de pasto del fraccionamiento</t>
  </si>
  <si>
    <t>Consorcio Gasolinero Plus S.A. de C.V., gasolina para mesa directiva compras varias, Grisela Peralta</t>
  </si>
  <si>
    <t>Gloria Mazzòn, pago en apoyo a cobranza domingo 11 de diciembre/16</t>
  </si>
  <si>
    <t xml:space="preserve">Panerìas La Esperanza, S.A. de C.V. compra de bolillos para tortas para personal vigilancia </t>
  </si>
  <si>
    <t>Cadena Comercial Oxxo, S.A. de C.V. compra de materiales de limpieza para casetas de vigilancia</t>
  </si>
  <si>
    <t>Patrulla 007, compensaciòn en apoyo de rondines en todo el fraccionamiento.</t>
  </si>
  <si>
    <t>Office Depot de Mèxico, S.A. de C.V., compra de papel premium tamaño carta</t>
  </si>
  <si>
    <t>Roberto Miranda, pago por barrer todo el fraccionamiento de lunes a viernes 1er quincena diciembre</t>
  </si>
  <si>
    <t>Roberto Miranda, gratificaciòn de fin de año por su labor en barrer todo el fraccionamiento entre sema</t>
  </si>
  <si>
    <t>Roberto Miranda, pago por recolecciòn de pasto podado entre semana</t>
  </si>
  <si>
    <t>Daniel Gama, en apoyo de pintar lona para nacimiento.</t>
  </si>
  <si>
    <t>Sr. Roman, compra de refrescos para persona de trabajos de herrerìa puerta Estopila.</t>
  </si>
  <si>
    <t>Sr. Roman, pago de herrerìa en reja  y pluma de Romeral</t>
  </si>
  <si>
    <t>Guardìas y Custodìas Gama, pago a/c de 1er quincena de diciembre/16</t>
  </si>
  <si>
    <t>Grisela Peralta, pago de la 1er quincena de diciembre/16</t>
  </si>
  <si>
    <t>Telefonos de Mèxico, S.A.B. de C.V., pago del mes de noviembre/16</t>
  </si>
  <si>
    <t>Pedro Bazzan, pago por recolecciòn de basura 1er quincena de lunes a viernes</t>
  </si>
  <si>
    <t>Guardias y Custodìas Gama, pago liq. De 1er quincena de diciembre/16 ch. # 65</t>
  </si>
  <si>
    <t>Electropura, S. de R.L. de C.V. compra de 10 garrafones y 2 garrafones adicionales</t>
  </si>
  <si>
    <t>Gloria Mazzòn, pago por concepto de captura de datos del 12 al 16 de diciembre</t>
  </si>
  <si>
    <t>Olegario Gama, compra de 1 jarra para cafetera de la caseta de Romeral</t>
  </si>
  <si>
    <t>Luis Hernàndez, pago por herrerìa en todas las rejas en total 19 barrotes soldados</t>
  </si>
  <si>
    <t>Papelerìa la Peque, compra de detalle por apoyo en todo lo del fraccionamiento MD y Vigilancia</t>
  </si>
  <si>
    <t>Jimenez Gama, pago en apoyo de recuperar mascota de la calle de EZ</t>
  </si>
  <si>
    <t>Constantino Cabrera, pago poda de pasto en el parque fracc., del 13 al 17 de dcieimbre/16</t>
  </si>
  <si>
    <t>Camiòn Baura, pago por acarreo de ladrillos y desechos en general terreno EP y CL</t>
  </si>
  <si>
    <t>Vecino, cooperaciòn con vecino para cortar cesped y bolsas para sacar pasto de Estopila salida escuela</t>
  </si>
  <si>
    <t>Manuel Gama, pago en apoyo de quitar posters del fraccionamiento por fuera y por dentro</t>
  </si>
  <si>
    <t>Asunciòn Gama, pago en apoyo en insidente de camiòn gas y supervisar rejas en general</t>
  </si>
  <si>
    <t>Gloria Mazzòn, pago en apoyo a cobrnza domingo 18 de diciembre/16</t>
  </si>
  <si>
    <t>Cartero, gratificaciòn de fin de año por su buen desempeño en todo el fraccionamiento</t>
  </si>
  <si>
    <t>Servicio Robledo, S.A. de C.V. compra de gasolina para presidencia Grisela Peralta</t>
  </si>
  <si>
    <t>Estacionamiento Cuemanco, compras varias</t>
  </si>
  <si>
    <t>Italcafe, S.A. de C.V., desayuno para mesa directiva</t>
  </si>
  <si>
    <t>Office Depot de Mèxico, S.A. de C.V. compra de papelerlìa Presidencia</t>
  </si>
  <si>
    <t>Luis Hernpandez, pago de dos tapas soldadas de luz en Upacuaro y Landero</t>
  </si>
  <si>
    <t>Panerías La Esperanza, S.A. de C.V. compra de bocadillos para personal de vigilancia</t>
  </si>
  <si>
    <t>Griovanna Mayen, compra de bolsad para detalles de la mesa directiva</t>
  </si>
  <si>
    <t>Sanborns Hermanos, S.A. compra de detalles para mesa directiva de cobranza</t>
  </si>
  <si>
    <t>Sanborns Hermanos, S.A. compra detalle a comité vecinal por apoyo a la mesa directiva</t>
  </si>
  <si>
    <t>Olegario Gama, pago por poda de pasto en caseta de Romeral</t>
  </si>
  <si>
    <t>Luis Manuel Jímenez, pago por vigilar junto con vecinos caso especial</t>
  </si>
  <si>
    <t>Gloria Mazzón, pago por captura de datos del 19 al 23 de diciembre/16</t>
  </si>
  <si>
    <t>Pedro Bazzan, compensaciòn al pesonal del camiòn de basura</t>
  </si>
  <si>
    <t>Luis Hernàndez, pago herrerìa en chapa estanzuela se safo una parte</t>
  </si>
  <si>
    <t>Gloria Mazzòn, pago de detalles para personal de la mesa directiva+</t>
  </si>
  <si>
    <t>Cadena Comercial Oxxo, S.A. de C.V., compra de botanas para vigilancia</t>
  </si>
  <si>
    <t>Sistema de Còmputo, pago de programa para llevar sistemas de seguridad personal de limpieza fracc</t>
  </si>
  <si>
    <t>Constantino Cabrera, poda de pasto del 20 al 24 de diciembre/16</t>
  </si>
  <si>
    <t>Patrulla 007, compensaciòn en apoyo de patrullaje el 24 diciembre/16 todo el fraccionamiento</t>
  </si>
  <si>
    <t>Chef Nucamendi, pago por cena que se les dio al personal de vigilancia ese dìa</t>
  </si>
  <si>
    <t>Office Depot de Mèxico, S.A. de C.V., pago de micas para credenciales para personal domestico</t>
  </si>
  <si>
    <t>Pedro Bazza, pago por recolecciòn de basura y pasto en fin de semana</t>
  </si>
  <si>
    <t>Patrulla 007, compensaciòn por patrullaje el 25 de diciembre a mesa de cobranza</t>
  </si>
  <si>
    <t>Patrulla 007, detalle de navidad para patrulla</t>
  </si>
  <si>
    <t>Eletropura, S. de R.L. de C.V., compra de 10 garrafones de agua para casetas</t>
  </si>
  <si>
    <t>Constantino Cabrera, poda de pasto del 27 al 31 de diciembre</t>
  </si>
  <si>
    <t>Advanced Servicio CCTV y Còmputo, compra de 30 tarjetas procard y configuradas ch. · 66</t>
  </si>
  <si>
    <t>Personal Delegaciòn, compensaciòn por llevarse escombros del parque</t>
  </si>
  <si>
    <t>Advanced Servicio CCTV y Còmputo, pago por vido en upacuaro 110</t>
  </si>
  <si>
    <t>Asunciòn Gama, compra de extenciòn para conectar aparatos elèctrico para caseta Romeral</t>
  </si>
  <si>
    <t>Roberto Miranda pago por barrer romeral y juntar pasto</t>
  </si>
  <si>
    <t>Roberto Miranda, pago por recolecciòn de basura de todo el fraccionamiento entre semana 2da quinc</t>
  </si>
  <si>
    <t>Pedro Bazan, pago por recelecciòn de basura en todo el fraccionamiento entre semana 2da. Quincena</t>
  </si>
  <si>
    <t xml:space="preserve">Guardias y Custodìas Gama, pago 2da. quincena de diciembre/16 </t>
  </si>
  <si>
    <t>Grisela Peralta, pago  de la 2da. Quincena de diciembre/16</t>
  </si>
  <si>
    <t>Tiendas Chedraui, S.A. de C.V., compra de materiales de limpieza para casetas</t>
  </si>
  <si>
    <t>Frituras El Paricutin, compra de pollos adobados para cena de vigilantes</t>
  </si>
  <si>
    <t>Cadena Comercial Oxxo, S.A. de C.V., compra de refrescos para cena de vigilancia</t>
  </si>
  <si>
    <t>Cadena Comercial Oxxo, S.A. de C.V., compra de refrescos para personal delegaciòn que pintaron parq</t>
  </si>
  <si>
    <t>Cadena Comercial Oxxo, S.A. de C.V., compra de refrescos para cena de vigilancia 2do turno</t>
  </si>
  <si>
    <t>Distribuidora EL Bollo, compra de pan para cena de vigilanciaç</t>
  </si>
  <si>
    <t>Jose Aunciòn Gama, ayuda del fraccionamiento por enfermedad de su hija fuertemente</t>
  </si>
  <si>
    <t>Gloria Mazzòn, pago por captura de datos del 26 al 30 de diciembre/2016</t>
  </si>
  <si>
    <t>Chef Nucamendi, pago por cena de fin de año para vigilancia</t>
  </si>
  <si>
    <t>Patrulla 007, compensaciòn por patrullaje el 31 de diciembre/16 en todo el fraccionamilento</t>
  </si>
  <si>
    <t>Patrulla 007, compensaciòn por patrullaje el 1 ero de enero en fraccionamiento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</si>
</sst>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* #,##0_-;\-* #,##0_-;_-* &quot;-&quot;??_-;_-@_-"/>
    <numFmt numFmtId="165" formatCode="dd\-mm\-yy;@"/>
    <numFmt numFmtId="166" formatCode="#,##0.00_ ;\-#,##0.00\ "/>
    <numFmt numFmtId="167" formatCode="d/mm/yy;@"/>
    <numFmt numFmtId="168" formatCode="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49" fontId="0" fillId="5" borderId="0" xfId="0" applyNumberFormat="1" applyFill="1" applyAlignment="1">
      <alignment horizontal="left"/>
    </xf>
    <xf numFmtId="165" fontId="0" fillId="7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2" fillId="7" borderId="1" xfId="0" applyNumberFormat="1" applyFont="1" applyFill="1" applyBorder="1" applyAlignment="1">
      <alignment horizontal="center"/>
    </xf>
    <xf numFmtId="39" fontId="3" fillId="2" borderId="0" xfId="1" applyNumberFormat="1" applyFont="1" applyFill="1" applyAlignment="1">
      <alignment vertical="center"/>
    </xf>
    <xf numFmtId="15" fontId="6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0" xfId="0" applyFont="1" applyFill="1"/>
    <xf numFmtId="166" fontId="3" fillId="2" borderId="0" xfId="1" applyNumberFormat="1" applyFont="1" applyFill="1" applyAlignment="1">
      <alignment horizontal="center" vertical="center"/>
    </xf>
    <xf numFmtId="4" fontId="0" fillId="5" borderId="0" xfId="0" applyNumberFormat="1" applyFill="1"/>
    <xf numFmtId="166" fontId="3" fillId="2" borderId="0" xfId="1" applyNumberFormat="1" applyFont="1" applyFill="1" applyAlignment="1">
      <alignment vertical="center"/>
    </xf>
    <xf numFmtId="165" fontId="0" fillId="5" borderId="0" xfId="0" applyNumberForma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0" xfId="0" applyFill="1"/>
    <xf numFmtId="15" fontId="2" fillId="9" borderId="1" xfId="0" applyNumberFormat="1" applyFont="1" applyFill="1" applyBorder="1" applyAlignment="1">
      <alignment horizontal="center"/>
    </xf>
    <xf numFmtId="17" fontId="2" fillId="9" borderId="1" xfId="0" applyNumberFormat="1" applyFont="1" applyFill="1" applyBorder="1" applyAlignment="1">
      <alignment horizontal="center"/>
    </xf>
    <xf numFmtId="17" fontId="2" fillId="6" borderId="1" xfId="0" applyNumberFormat="1" applyFont="1" applyFill="1" applyBorder="1" applyAlignment="1">
      <alignment horizontal="center"/>
    </xf>
    <xf numFmtId="15" fontId="2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7" fontId="6" fillId="8" borderId="1" xfId="0" applyNumberFormat="1" applyFont="1" applyFill="1" applyBorder="1" applyAlignment="1">
      <alignment horizontal="center"/>
    </xf>
    <xf numFmtId="165" fontId="4" fillId="8" borderId="0" xfId="0" applyNumberFormat="1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Border="1"/>
    <xf numFmtId="49" fontId="4" fillId="8" borderId="0" xfId="0" applyNumberFormat="1" applyFont="1" applyFill="1"/>
    <xf numFmtId="167" fontId="4" fillId="8" borderId="0" xfId="0" applyNumberFormat="1" applyFont="1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 applyFill="1"/>
    <xf numFmtId="4" fontId="0" fillId="0" borderId="0" xfId="0" applyNumberFormat="1" applyFill="1"/>
    <xf numFmtId="0" fontId="0" fillId="0" borderId="0" xfId="0" applyFill="1" applyAlignment="1">
      <alignment horizontal="center"/>
    </xf>
    <xf numFmtId="4" fontId="0" fillId="0" borderId="0" xfId="0" applyNumberFormat="1" applyFill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2" fillId="10" borderId="1" xfId="0" applyNumberFormat="1" applyFont="1" applyFill="1" applyBorder="1" applyAlignment="1">
      <alignment horizontal="center"/>
    </xf>
    <xf numFmtId="17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" fontId="2" fillId="10" borderId="1" xfId="0" applyNumberFormat="1" applyFont="1" applyFill="1" applyBorder="1" applyAlignment="1">
      <alignment horizontal="center"/>
    </xf>
    <xf numFmtId="0" fontId="0" fillId="10" borderId="0" xfId="0" applyFill="1"/>
    <xf numFmtId="15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7" fontId="2" fillId="11" borderId="1" xfId="0" applyNumberFormat="1" applyFont="1" applyFill="1" applyBorder="1" applyAlignment="1">
      <alignment horizontal="center"/>
    </xf>
    <xf numFmtId="0" fontId="0" fillId="11" borderId="0" xfId="0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15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7" fontId="2" fillId="13" borderId="1" xfId="0" applyNumberFormat="1" applyFont="1" applyFill="1" applyBorder="1" applyAlignment="1">
      <alignment horizontal="center"/>
    </xf>
    <xf numFmtId="0" fontId="0" fillId="13" borderId="0" xfId="0" applyFill="1"/>
    <xf numFmtId="15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7" fontId="2" fillId="12" borderId="1" xfId="0" applyNumberFormat="1" applyFont="1" applyFill="1" applyBorder="1" applyAlignment="1">
      <alignment horizontal="center"/>
    </xf>
    <xf numFmtId="0" fontId="0" fillId="12" borderId="0" xfId="0" applyFill="1"/>
    <xf numFmtId="4" fontId="0" fillId="9" borderId="0" xfId="0" applyNumberFormat="1" applyFill="1"/>
    <xf numFmtId="165" fontId="0" fillId="4" borderId="0" xfId="0" applyNumberFormat="1" applyFill="1" applyAlignment="1"/>
    <xf numFmtId="4" fontId="0" fillId="4" borderId="0" xfId="0" applyNumberFormat="1" applyFill="1" applyAlignment="1"/>
    <xf numFmtId="0" fontId="0" fillId="4" borderId="0" xfId="0" applyFill="1" applyAlignment="1"/>
    <xf numFmtId="49" fontId="0" fillId="4" borderId="0" xfId="0" applyNumberFormat="1" applyFill="1" applyAlignment="1"/>
    <xf numFmtId="15" fontId="0" fillId="4" borderId="0" xfId="0" applyNumberFormat="1" applyFill="1" applyBorder="1" applyAlignment="1">
      <alignment vertical="center"/>
    </xf>
    <xf numFmtId="2" fontId="0" fillId="4" borderId="0" xfId="0" applyNumberFormat="1" applyFill="1" applyAlignment="1"/>
    <xf numFmtId="14" fontId="0" fillId="10" borderId="0" xfId="0" applyNumberFormat="1" applyFill="1"/>
    <xf numFmtId="4" fontId="0" fillId="10" borderId="0" xfId="0" applyNumberFormat="1" applyFill="1"/>
    <xf numFmtId="0" fontId="0" fillId="10" borderId="0" xfId="0" applyFill="1" applyBorder="1"/>
    <xf numFmtId="0" fontId="4" fillId="7" borderId="0" xfId="0" applyFont="1" applyFill="1"/>
    <xf numFmtId="0" fontId="4" fillId="5" borderId="0" xfId="0" applyFont="1" applyFill="1"/>
    <xf numFmtId="14" fontId="0" fillId="8" borderId="0" xfId="0" applyNumberFormat="1" applyFill="1"/>
    <xf numFmtId="4" fontId="0" fillId="8" borderId="0" xfId="0" applyNumberFormat="1" applyFill="1"/>
    <xf numFmtId="0" fontId="0" fillId="14" borderId="0" xfId="0" applyFill="1"/>
    <xf numFmtId="0" fontId="0" fillId="15" borderId="0" xfId="0" applyFill="1"/>
    <xf numFmtId="14" fontId="0" fillId="12" borderId="0" xfId="0" applyNumberFormat="1" applyFill="1"/>
    <xf numFmtId="4" fontId="0" fillId="12" borderId="0" xfId="0" applyNumberFormat="1" applyFill="1"/>
    <xf numFmtId="14" fontId="0" fillId="11" borderId="0" xfId="0" applyNumberFormat="1" applyFill="1"/>
    <xf numFmtId="4" fontId="0" fillId="11" borderId="0" xfId="0" applyNumberFormat="1" applyFill="1"/>
    <xf numFmtId="14" fontId="0" fillId="3" borderId="0" xfId="0" applyNumberFormat="1" applyFill="1"/>
    <xf numFmtId="4" fontId="0" fillId="3" borderId="0" xfId="0" applyNumberFormat="1" applyFill="1"/>
    <xf numFmtId="14" fontId="0" fillId="3" borderId="0" xfId="0" applyNumberFormat="1" applyFont="1" applyFill="1" applyBorder="1" applyAlignment="1">
      <alignment horizontal="center"/>
    </xf>
    <xf numFmtId="4" fontId="0" fillId="3" borderId="0" xfId="0" applyNumberFormat="1" applyFont="1" applyFill="1" applyBorder="1" applyAlignment="1">
      <alignment horizontal="right"/>
    </xf>
    <xf numFmtId="4" fontId="0" fillId="7" borderId="0" xfId="0" applyNumberFormat="1" applyFill="1" applyAlignment="1">
      <alignment horizontal="right"/>
    </xf>
    <xf numFmtId="165" fontId="0" fillId="6" borderId="0" xfId="0" applyNumberFormat="1" applyFill="1" applyAlignment="1">
      <alignment horizontal="center"/>
    </xf>
    <xf numFmtId="4" fontId="4" fillId="8" borderId="0" xfId="0" applyNumberFormat="1" applyFont="1" applyFill="1" applyAlignment="1">
      <alignment horizontal="right"/>
    </xf>
    <xf numFmtId="2" fontId="4" fillId="8" borderId="0" xfId="0" applyNumberFormat="1" applyFont="1" applyFill="1" applyAlignment="1">
      <alignment horizontal="right"/>
    </xf>
    <xf numFmtId="4" fontId="0" fillId="6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0" fontId="0" fillId="6" borderId="0" xfId="0" applyFill="1" applyAlignment="1"/>
    <xf numFmtId="168" fontId="0" fillId="9" borderId="0" xfId="0" applyNumberFormat="1" applyFill="1"/>
    <xf numFmtId="0" fontId="4" fillId="10" borderId="0" xfId="0" applyFont="1" applyFill="1"/>
    <xf numFmtId="0" fontId="4" fillId="6" borderId="0" xfId="0" applyFont="1" applyFill="1"/>
    <xf numFmtId="0" fontId="4" fillId="14" borderId="0" xfId="0" applyFont="1" applyFill="1"/>
    <xf numFmtId="4" fontId="0" fillId="12" borderId="0" xfId="0" applyNumberFormat="1" applyFill="1" applyBorder="1" applyAlignment="1">
      <alignment horizontal="right"/>
    </xf>
    <xf numFmtId="0" fontId="0" fillId="12" borderId="0" xfId="0" applyFill="1" applyBorder="1"/>
    <xf numFmtId="15" fontId="0" fillId="11" borderId="0" xfId="0" applyNumberFormat="1" applyFill="1" applyBorder="1" applyAlignment="1">
      <alignment vertical="center"/>
    </xf>
    <xf numFmtId="15" fontId="0" fillId="3" borderId="0" xfId="0" applyNumberFormat="1" applyFill="1" applyBorder="1" applyAlignment="1">
      <alignment vertical="center"/>
    </xf>
    <xf numFmtId="15" fontId="0" fillId="7" borderId="0" xfId="0" applyNumberFormat="1" applyFill="1" applyBorder="1" applyAlignment="1">
      <alignment vertical="center"/>
    </xf>
    <xf numFmtId="4" fontId="0" fillId="5" borderId="0" xfId="0" applyNumberFormat="1" applyFill="1" applyAlignment="1">
      <alignment horizontal="right"/>
    </xf>
    <xf numFmtId="0" fontId="0" fillId="16" borderId="0" xfId="0" applyFill="1"/>
    <xf numFmtId="165" fontId="0" fillId="16" borderId="0" xfId="0" applyNumberFormat="1" applyFill="1" applyAlignment="1"/>
    <xf numFmtId="4" fontId="0" fillId="16" borderId="0" xfId="0" applyNumberFormat="1" applyFill="1" applyAlignment="1">
      <alignment horizontal="right"/>
    </xf>
    <xf numFmtId="4" fontId="4" fillId="8" borderId="0" xfId="0" applyNumberFormat="1" applyFont="1" applyFill="1" applyAlignment="1"/>
    <xf numFmtId="0" fontId="4" fillId="8" borderId="0" xfId="0" applyFont="1" applyFill="1" applyAlignment="1"/>
    <xf numFmtId="165" fontId="0" fillId="0" borderId="0" xfId="0" applyNumberFormat="1" applyFill="1" applyAlignment="1">
      <alignment horizontal="center"/>
    </xf>
    <xf numFmtId="4" fontId="0" fillId="0" borderId="0" xfId="0" applyNumberFormat="1" applyFill="1" applyAlignment="1">
      <alignment horizontal="right"/>
    </xf>
    <xf numFmtId="4" fontId="0" fillId="15" borderId="0" xfId="0" applyNumberFormat="1" applyFill="1"/>
    <xf numFmtId="4" fontId="0" fillId="14" borderId="0" xfId="0" applyNumberFormat="1" applyFill="1"/>
    <xf numFmtId="14" fontId="0" fillId="12" borderId="0" xfId="0" applyNumberFormat="1" applyFont="1" applyFill="1" applyBorder="1" applyAlignment="1"/>
    <xf numFmtId="14" fontId="0" fillId="12" borderId="0" xfId="0" applyNumberFormat="1" applyFill="1" applyAlignment="1"/>
    <xf numFmtId="0" fontId="0" fillId="12" borderId="0" xfId="0" applyFill="1" applyAlignment="1"/>
    <xf numFmtId="0" fontId="0" fillId="0" borderId="0" xfId="0" applyAlignment="1"/>
    <xf numFmtId="14" fontId="0" fillId="13" borderId="0" xfId="0" applyNumberFormat="1" applyFill="1"/>
    <xf numFmtId="4" fontId="0" fillId="13" borderId="0" xfId="0" applyNumberFormat="1" applyFill="1"/>
    <xf numFmtId="15" fontId="0" fillId="13" borderId="0" xfId="0" applyNumberFormat="1" applyFill="1" applyBorder="1" applyAlignment="1">
      <alignment vertic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86"/>
  <sheetViews>
    <sheetView tabSelected="1" zoomScaleNormal="100" workbookViewId="0">
      <pane ySplit="4" topLeftCell="A27" activePane="bottomLeft" state="frozen"/>
      <selection activeCell="P1" sqref="P1"/>
      <selection pane="bottomLeft" activeCell="C29" sqref="C29"/>
    </sheetView>
  </sheetViews>
  <sheetFormatPr baseColWidth="10" defaultRowHeight="15" x14ac:dyDescent="0.25"/>
  <cols>
    <col min="1" max="1" width="9.7109375" style="3" customWidth="1"/>
    <col min="2" max="2" width="11.7109375" style="3" customWidth="1"/>
    <col min="3" max="3" width="77.42578125" customWidth="1"/>
    <col min="4" max="4" width="10.42578125" style="3" customWidth="1"/>
    <col min="5" max="5" width="11.7109375" customWidth="1"/>
    <col min="6" max="6" width="72.42578125" customWidth="1"/>
    <col min="7" max="7" width="9.7109375" style="3" customWidth="1"/>
    <col min="8" max="8" width="11.7109375" customWidth="1"/>
    <col min="9" max="9" width="77.42578125" customWidth="1"/>
    <col min="10" max="10" width="9.7109375" style="3" customWidth="1"/>
    <col min="11" max="11" width="11.7109375" customWidth="1"/>
    <col min="12" max="12" width="77.42578125" customWidth="1"/>
    <col min="13" max="13" width="9.7109375" customWidth="1"/>
    <col min="14" max="14" width="11.7109375" customWidth="1"/>
    <col min="15" max="15" width="77.42578125" customWidth="1"/>
    <col min="16" max="16" width="9.7109375" customWidth="1"/>
    <col min="17" max="17" width="11.7109375" customWidth="1"/>
    <col min="18" max="18" width="77.42578125" customWidth="1"/>
    <col min="19" max="19" width="10.42578125" customWidth="1"/>
    <col min="20" max="20" width="11.7109375" customWidth="1"/>
    <col min="21" max="21" width="77.42578125" customWidth="1"/>
    <col min="22" max="22" width="10.5703125" customWidth="1"/>
    <col min="23" max="23" width="11.7109375" customWidth="1"/>
    <col min="24" max="24" width="89.28515625" customWidth="1"/>
    <col min="25" max="25" width="10.7109375" customWidth="1"/>
    <col min="26" max="26" width="11.7109375" customWidth="1"/>
    <col min="27" max="27" width="90.28515625" customWidth="1"/>
    <col min="28" max="28" width="10.5703125" customWidth="1"/>
    <col min="29" max="29" width="11.7109375" customWidth="1"/>
    <col min="30" max="30" width="90.5703125" customWidth="1"/>
    <col min="31" max="31" width="10.42578125" customWidth="1"/>
    <col min="32" max="32" width="11.7109375" customWidth="1"/>
    <col min="33" max="33" width="90.5703125" customWidth="1"/>
    <col min="34" max="34" width="11.28515625" customWidth="1"/>
    <col min="35" max="35" width="11.7109375" customWidth="1"/>
    <col min="36" max="36" width="90.5703125" customWidth="1"/>
  </cols>
  <sheetData>
    <row r="1" spans="1:36" ht="15.75" x14ac:dyDescent="0.2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2" t="s">
        <v>1</v>
      </c>
      <c r="M1" s="132"/>
      <c r="N1" s="2">
        <v>2014</v>
      </c>
      <c r="O1" s="1"/>
      <c r="Q1" s="2">
        <v>2014</v>
      </c>
      <c r="T1" s="2">
        <v>2014</v>
      </c>
      <c r="W1" s="2">
        <v>2014</v>
      </c>
      <c r="Z1" s="2">
        <v>2014</v>
      </c>
      <c r="AB1" s="2">
        <v>2014</v>
      </c>
      <c r="AE1" s="2">
        <v>2014</v>
      </c>
      <c r="AH1" s="2">
        <v>2014</v>
      </c>
    </row>
    <row r="2" spans="1:36" x14ac:dyDescent="0.25">
      <c r="A2" s="145" t="s">
        <v>16</v>
      </c>
      <c r="B2" s="146"/>
      <c r="C2" s="147"/>
      <c r="D2" s="142" t="s">
        <v>16</v>
      </c>
      <c r="E2" s="143"/>
      <c r="F2" s="144"/>
      <c r="G2" s="139" t="s">
        <v>16</v>
      </c>
      <c r="H2" s="140"/>
      <c r="I2" s="141"/>
      <c r="J2" s="136" t="s">
        <v>16</v>
      </c>
      <c r="K2" s="137"/>
      <c r="L2" s="138"/>
      <c r="M2" s="133" t="s">
        <v>16</v>
      </c>
      <c r="N2" s="134"/>
      <c r="O2" s="135"/>
      <c r="P2" s="127" t="s">
        <v>16</v>
      </c>
      <c r="Q2" s="128"/>
      <c r="R2" s="129"/>
      <c r="S2" s="124" t="s">
        <v>16</v>
      </c>
      <c r="T2" s="125"/>
      <c r="U2" s="126"/>
      <c r="V2" s="148" t="s">
        <v>16</v>
      </c>
      <c r="W2" s="149"/>
      <c r="X2" s="150"/>
      <c r="Y2" s="151" t="s">
        <v>16</v>
      </c>
      <c r="Z2" s="152"/>
      <c r="AA2" s="153"/>
      <c r="AB2" s="154" t="s">
        <v>16</v>
      </c>
      <c r="AC2" s="155"/>
      <c r="AD2" s="156"/>
      <c r="AE2" s="157" t="s">
        <v>16</v>
      </c>
      <c r="AF2" s="158"/>
      <c r="AG2" s="159"/>
      <c r="AH2" s="160" t="s">
        <v>16</v>
      </c>
      <c r="AI2" s="161"/>
      <c r="AJ2" s="162"/>
    </row>
    <row r="3" spans="1:36" x14ac:dyDescent="0.25">
      <c r="A3" s="4">
        <f>SUBTOTAL(3,A5:A128)</f>
        <v>92</v>
      </c>
      <c r="B3" s="22">
        <f>SUBTOTAL(9,B5:B128)</f>
        <v>113825.83</v>
      </c>
      <c r="C3" s="15" t="s">
        <v>3</v>
      </c>
      <c r="D3" s="4">
        <f>SUBTOTAL(3,D5:D131)</f>
        <v>105</v>
      </c>
      <c r="E3" s="24">
        <f>SUBTOTAL(9,E5:E131)</f>
        <v>124184.40999999999</v>
      </c>
      <c r="F3" s="17" t="s">
        <v>3</v>
      </c>
      <c r="G3" s="4">
        <f>SUBTOTAL(3,G5:G140)</f>
        <v>110</v>
      </c>
      <c r="H3" s="14">
        <f>SUBTOTAL(9,H5:H140)</f>
        <v>133390.52999999997</v>
      </c>
      <c r="I3" s="18" t="s">
        <v>3</v>
      </c>
      <c r="J3" s="4">
        <f>SUBTOTAL(3,J5:J126)</f>
        <v>84</v>
      </c>
      <c r="K3" s="14">
        <f>SUBTOTAL(9,K5:K126)</f>
        <v>87016.37</v>
      </c>
      <c r="L3" s="31" t="s">
        <v>3</v>
      </c>
      <c r="M3" s="4">
        <f>SUBTOTAL(3,M5:M142)</f>
        <v>95</v>
      </c>
      <c r="N3" s="14">
        <f>SUBTOTAL(9,N5:N142)</f>
        <v>122665.9</v>
      </c>
      <c r="O3" s="45" t="s">
        <v>3</v>
      </c>
      <c r="P3" s="4">
        <f>SUBTOTAL(3,P5:P145)</f>
        <v>110</v>
      </c>
      <c r="Q3" s="24">
        <f>SUBTOTAL(9,Q5:Q146)</f>
        <v>127553.15</v>
      </c>
      <c r="R3" s="28" t="s">
        <v>3</v>
      </c>
      <c r="S3" s="4">
        <f>SUBTOTAL(3,S5:S168)</f>
        <v>110</v>
      </c>
      <c r="T3" s="14">
        <f>SUBTOTAL(9,T5:T168)</f>
        <v>126022.88</v>
      </c>
      <c r="U3" s="46" t="s">
        <v>3</v>
      </c>
      <c r="V3" s="4">
        <f>SUBTOTAL(3,V5:V125)</f>
        <v>121</v>
      </c>
      <c r="W3" s="14">
        <f>SUBTOTAL(9,W5:W127)</f>
        <v>127498.87</v>
      </c>
      <c r="X3" s="31" t="s">
        <v>3</v>
      </c>
      <c r="Y3" s="4">
        <f>SUBTOTAL(3,Y5:Y139)</f>
        <v>122</v>
      </c>
      <c r="Z3" s="14">
        <f>SUBTOTAL(9,Z5:Z139)</f>
        <v>131877.46000000002</v>
      </c>
      <c r="AA3" s="63" t="s">
        <v>3</v>
      </c>
      <c r="AB3" s="4">
        <f>SUBTOTAL(3,AB5:AB133)</f>
        <v>128</v>
      </c>
      <c r="AC3" s="14">
        <f>SUBTOTAL(9,AC5:AC133)</f>
        <v>91788.03</v>
      </c>
      <c r="AD3" s="52" t="s">
        <v>3</v>
      </c>
      <c r="AE3" s="4">
        <f>SUBTOTAL(3,AE6:AE146)</f>
        <v>130</v>
      </c>
      <c r="AF3" s="14">
        <f>SUBTOTAL(9,AF5:AF146)</f>
        <v>125030.40000000001</v>
      </c>
      <c r="AG3" s="19" t="s">
        <v>3</v>
      </c>
      <c r="AH3" s="4">
        <f>SUBTOTAL(3,AH5:AH125)</f>
        <v>121</v>
      </c>
      <c r="AI3" s="14">
        <f>SUBTOTAL(9,AI5:AI157)</f>
        <v>155019.03999999998</v>
      </c>
      <c r="AJ3" s="59" t="s">
        <v>3</v>
      </c>
    </row>
    <row r="4" spans="1:36" x14ac:dyDescent="0.25">
      <c r="A4" s="16" t="s">
        <v>2</v>
      </c>
      <c r="B4" s="16" t="s">
        <v>0</v>
      </c>
      <c r="C4" s="13" t="s">
        <v>4</v>
      </c>
      <c r="D4" s="11" t="s">
        <v>2</v>
      </c>
      <c r="E4" s="11" t="s">
        <v>0</v>
      </c>
      <c r="F4" s="11" t="s">
        <v>5</v>
      </c>
      <c r="G4" s="12" t="s">
        <v>2</v>
      </c>
      <c r="H4" s="12" t="s">
        <v>0</v>
      </c>
      <c r="I4" s="12" t="s">
        <v>6</v>
      </c>
      <c r="J4" s="32" t="s">
        <v>2</v>
      </c>
      <c r="K4" s="32" t="s">
        <v>0</v>
      </c>
      <c r="L4" s="33" t="s">
        <v>7</v>
      </c>
      <c r="M4" s="20" t="s">
        <v>2</v>
      </c>
      <c r="N4" s="20" t="s">
        <v>0</v>
      </c>
      <c r="O4" s="30" t="s">
        <v>8</v>
      </c>
      <c r="P4" s="26" t="s">
        <v>2</v>
      </c>
      <c r="Q4" s="26" t="s">
        <v>0</v>
      </c>
      <c r="R4" s="29" t="s">
        <v>9</v>
      </c>
      <c r="S4" s="49" t="s">
        <v>2</v>
      </c>
      <c r="T4" s="49" t="s">
        <v>0</v>
      </c>
      <c r="U4" s="50" t="s">
        <v>15</v>
      </c>
      <c r="V4" s="48" t="s">
        <v>2</v>
      </c>
      <c r="W4" s="48" t="s">
        <v>0</v>
      </c>
      <c r="X4" s="47" t="s">
        <v>10</v>
      </c>
      <c r="Y4" s="64" t="s">
        <v>2</v>
      </c>
      <c r="Z4" s="64" t="s">
        <v>0</v>
      </c>
      <c r="AA4" s="65" t="s">
        <v>11</v>
      </c>
      <c r="AB4" s="53" t="s">
        <v>2</v>
      </c>
      <c r="AC4" s="53" t="s">
        <v>0</v>
      </c>
      <c r="AD4" s="54" t="s">
        <v>12</v>
      </c>
      <c r="AE4" s="56" t="s">
        <v>2</v>
      </c>
      <c r="AF4" s="56" t="s">
        <v>0</v>
      </c>
      <c r="AG4" s="57" t="s">
        <v>13</v>
      </c>
      <c r="AH4" s="60" t="s">
        <v>2</v>
      </c>
      <c r="AI4" s="60" t="s">
        <v>0</v>
      </c>
      <c r="AJ4" s="61" t="s">
        <v>14</v>
      </c>
    </row>
    <row r="5" spans="1:36" x14ac:dyDescent="0.25">
      <c r="A5" s="9">
        <v>42370</v>
      </c>
      <c r="B5" s="91">
        <v>1000</v>
      </c>
      <c r="C5" s="7" t="s">
        <v>17</v>
      </c>
      <c r="D5" s="25">
        <v>42402</v>
      </c>
      <c r="E5" s="23">
        <v>94</v>
      </c>
      <c r="F5" s="8" t="s">
        <v>92</v>
      </c>
      <c r="G5" s="68">
        <v>42431</v>
      </c>
      <c r="H5" s="73">
        <v>700</v>
      </c>
      <c r="I5" s="70" t="s">
        <v>181</v>
      </c>
      <c r="J5" s="34">
        <v>42461</v>
      </c>
      <c r="K5" s="93">
        <v>400</v>
      </c>
      <c r="L5" s="35" t="s">
        <v>277</v>
      </c>
      <c r="M5" s="92">
        <v>37012</v>
      </c>
      <c r="N5" s="95">
        <v>83</v>
      </c>
      <c r="O5" s="6" t="s">
        <v>360</v>
      </c>
      <c r="P5" s="98">
        <v>42522</v>
      </c>
      <c r="Q5" s="67">
        <v>255</v>
      </c>
      <c r="R5" s="27" t="s">
        <v>426</v>
      </c>
      <c r="S5" s="74">
        <v>42552</v>
      </c>
      <c r="T5" s="75">
        <v>550</v>
      </c>
      <c r="U5" s="51" t="s">
        <v>519</v>
      </c>
      <c r="V5" s="79">
        <v>42583</v>
      </c>
      <c r="W5" s="80">
        <v>50</v>
      </c>
      <c r="X5" s="39" t="s">
        <v>611</v>
      </c>
      <c r="Y5" s="83">
        <v>42614</v>
      </c>
      <c r="Z5" s="84">
        <v>175</v>
      </c>
      <c r="AA5" s="66" t="s">
        <v>723</v>
      </c>
      <c r="AB5" s="85">
        <v>42644</v>
      </c>
      <c r="AC5" s="86">
        <v>30</v>
      </c>
      <c r="AD5" s="55" t="s">
        <v>840</v>
      </c>
      <c r="AE5" s="89">
        <v>42675</v>
      </c>
      <c r="AF5" s="90">
        <v>10000</v>
      </c>
      <c r="AG5" s="58" t="s">
        <v>958</v>
      </c>
      <c r="AH5" s="121">
        <v>42705</v>
      </c>
      <c r="AI5" s="122">
        <v>200</v>
      </c>
      <c r="AJ5" s="62" t="s">
        <v>1074</v>
      </c>
    </row>
    <row r="6" spans="1:36" ht="15" customHeight="1" x14ac:dyDescent="0.25">
      <c r="A6" s="9">
        <v>42371</v>
      </c>
      <c r="B6" s="91">
        <v>750</v>
      </c>
      <c r="C6" s="7" t="s">
        <v>18</v>
      </c>
      <c r="D6" s="25">
        <v>42402</v>
      </c>
      <c r="E6" s="23">
        <v>1000</v>
      </c>
      <c r="F6" s="5" t="s">
        <v>93</v>
      </c>
      <c r="G6" s="68">
        <v>42432</v>
      </c>
      <c r="H6" s="73">
        <v>200</v>
      </c>
      <c r="I6" s="70" t="s">
        <v>182</v>
      </c>
      <c r="J6" s="34">
        <v>42463</v>
      </c>
      <c r="K6" s="94">
        <v>103</v>
      </c>
      <c r="L6" s="35" t="s">
        <v>278</v>
      </c>
      <c r="M6" s="92">
        <v>42491</v>
      </c>
      <c r="N6" s="96">
        <v>91</v>
      </c>
      <c r="O6" s="6" t="s">
        <v>360</v>
      </c>
      <c r="P6" s="98">
        <v>42522</v>
      </c>
      <c r="Q6" s="67">
        <v>40</v>
      </c>
      <c r="R6" s="27" t="s">
        <v>427</v>
      </c>
      <c r="S6" s="74">
        <v>42552</v>
      </c>
      <c r="T6" s="75">
        <v>143</v>
      </c>
      <c r="U6" s="51" t="s">
        <v>517</v>
      </c>
      <c r="V6" s="79">
        <v>42583</v>
      </c>
      <c r="W6" s="80">
        <v>188</v>
      </c>
      <c r="X6" s="39" t="s">
        <v>477</v>
      </c>
      <c r="Y6" s="83">
        <v>42614</v>
      </c>
      <c r="Z6" s="84">
        <v>149.19999999999999</v>
      </c>
      <c r="AA6" s="66" t="s">
        <v>724</v>
      </c>
      <c r="AB6" s="85">
        <v>42645</v>
      </c>
      <c r="AC6" s="86">
        <v>120.5</v>
      </c>
      <c r="AD6" s="55" t="s">
        <v>841</v>
      </c>
      <c r="AE6" s="87">
        <v>42675</v>
      </c>
      <c r="AF6" s="88">
        <v>370</v>
      </c>
      <c r="AG6" s="58" t="s">
        <v>959</v>
      </c>
      <c r="AH6" s="121">
        <v>42705</v>
      </c>
      <c r="AI6" s="122">
        <v>190</v>
      </c>
      <c r="AJ6" s="62" t="s">
        <v>1075</v>
      </c>
    </row>
    <row r="7" spans="1:36" x14ac:dyDescent="0.25">
      <c r="A7" s="9">
        <v>42371</v>
      </c>
      <c r="B7" s="91">
        <v>400</v>
      </c>
      <c r="C7" s="7" t="s">
        <v>19</v>
      </c>
      <c r="D7" s="25">
        <v>42402</v>
      </c>
      <c r="E7" s="23">
        <v>150</v>
      </c>
      <c r="F7" s="5" t="s">
        <v>94</v>
      </c>
      <c r="G7" s="68">
        <v>42432</v>
      </c>
      <c r="H7" s="69">
        <v>130</v>
      </c>
      <c r="I7" s="70" t="s">
        <v>183</v>
      </c>
      <c r="J7" s="34">
        <v>42464</v>
      </c>
      <c r="K7" s="93">
        <v>100</v>
      </c>
      <c r="L7" s="35" t="s">
        <v>279</v>
      </c>
      <c r="M7" s="92">
        <v>42492</v>
      </c>
      <c r="N7" s="96">
        <v>9000</v>
      </c>
      <c r="O7" s="6" t="s">
        <v>391</v>
      </c>
      <c r="P7" s="98">
        <v>42522</v>
      </c>
      <c r="Q7" s="67">
        <v>60</v>
      </c>
      <c r="R7" s="27" t="s">
        <v>428</v>
      </c>
      <c r="S7" s="74">
        <v>42552</v>
      </c>
      <c r="T7" s="75">
        <v>15</v>
      </c>
      <c r="U7" s="51" t="s">
        <v>518</v>
      </c>
      <c r="V7" s="79">
        <v>42583</v>
      </c>
      <c r="W7" s="80">
        <v>450</v>
      </c>
      <c r="X7" s="39" t="s">
        <v>617</v>
      </c>
      <c r="Y7" s="83">
        <v>42614</v>
      </c>
      <c r="Z7" s="84">
        <v>230</v>
      </c>
      <c r="AA7" s="66" t="s">
        <v>725</v>
      </c>
      <c r="AB7" s="85">
        <v>42645</v>
      </c>
      <c r="AC7" s="86">
        <v>500</v>
      </c>
      <c r="AD7" s="55" t="s">
        <v>842</v>
      </c>
      <c r="AE7" s="87">
        <v>42676</v>
      </c>
      <c r="AF7" s="88">
        <v>150</v>
      </c>
      <c r="AG7" s="58" t="s">
        <v>960</v>
      </c>
      <c r="AH7" s="121">
        <v>42705</v>
      </c>
      <c r="AI7" s="122">
        <v>308</v>
      </c>
      <c r="AJ7" s="62" t="s">
        <v>1076</v>
      </c>
    </row>
    <row r="8" spans="1:36" x14ac:dyDescent="0.25">
      <c r="A8" s="9">
        <v>42372</v>
      </c>
      <c r="B8" s="91">
        <v>65</v>
      </c>
      <c r="C8" s="21" t="s">
        <v>20</v>
      </c>
      <c r="D8" s="25">
        <v>42402</v>
      </c>
      <c r="E8" s="23">
        <v>350</v>
      </c>
      <c r="F8" s="5" t="s">
        <v>95</v>
      </c>
      <c r="G8" s="68">
        <v>42432</v>
      </c>
      <c r="H8" s="69">
        <v>60</v>
      </c>
      <c r="I8" s="70" t="s">
        <v>184</v>
      </c>
      <c r="J8" s="34">
        <v>42464</v>
      </c>
      <c r="K8" s="93">
        <v>175</v>
      </c>
      <c r="L8" s="35" t="s">
        <v>250</v>
      </c>
      <c r="M8" s="92">
        <v>42493</v>
      </c>
      <c r="N8" s="95">
        <v>142</v>
      </c>
      <c r="O8" s="6" t="s">
        <v>349</v>
      </c>
      <c r="P8" s="98">
        <v>42522</v>
      </c>
      <c r="Q8" s="67">
        <v>100</v>
      </c>
      <c r="R8" s="27" t="s">
        <v>429</v>
      </c>
      <c r="S8" s="74">
        <v>42887</v>
      </c>
      <c r="T8" s="75">
        <v>142</v>
      </c>
      <c r="U8" s="51" t="s">
        <v>349</v>
      </c>
      <c r="V8" s="79">
        <v>42583</v>
      </c>
      <c r="W8" s="80">
        <v>117</v>
      </c>
      <c r="X8" s="39" t="s">
        <v>622</v>
      </c>
      <c r="Y8" s="83">
        <v>42614</v>
      </c>
      <c r="Z8" s="84">
        <v>72</v>
      </c>
      <c r="AA8" s="66" t="s">
        <v>726</v>
      </c>
      <c r="AB8" s="85">
        <v>42645</v>
      </c>
      <c r="AC8" s="86">
        <v>120</v>
      </c>
      <c r="AD8" s="55" t="s">
        <v>843</v>
      </c>
      <c r="AE8" s="87">
        <v>42676</v>
      </c>
      <c r="AF8" s="88">
        <v>209.7</v>
      </c>
      <c r="AG8" s="58" t="s">
        <v>961</v>
      </c>
      <c r="AH8" s="121">
        <v>42705</v>
      </c>
      <c r="AI8" s="122">
        <v>200</v>
      </c>
      <c r="AJ8" s="62" t="s">
        <v>1077</v>
      </c>
    </row>
    <row r="9" spans="1:36" x14ac:dyDescent="0.25">
      <c r="A9" s="9">
        <v>42373</v>
      </c>
      <c r="B9" s="91">
        <v>110</v>
      </c>
      <c r="C9" s="7" t="s">
        <v>21</v>
      </c>
      <c r="D9" s="25">
        <v>42402</v>
      </c>
      <c r="E9" s="23">
        <v>200</v>
      </c>
      <c r="F9" s="5" t="s">
        <v>96</v>
      </c>
      <c r="G9" s="68">
        <v>42432</v>
      </c>
      <c r="H9" s="69">
        <v>219</v>
      </c>
      <c r="I9" s="70" t="s">
        <v>189</v>
      </c>
      <c r="J9" s="34">
        <v>42464</v>
      </c>
      <c r="K9" s="93">
        <v>450</v>
      </c>
      <c r="L9" s="35" t="s">
        <v>280</v>
      </c>
      <c r="M9" s="92">
        <v>42493</v>
      </c>
      <c r="N9" s="95">
        <v>361</v>
      </c>
      <c r="O9" s="6" t="s">
        <v>350</v>
      </c>
      <c r="P9" s="98">
        <v>42522</v>
      </c>
      <c r="Q9" s="67">
        <v>3665</v>
      </c>
      <c r="R9" s="27" t="s">
        <v>430</v>
      </c>
      <c r="S9" s="74">
        <v>42522</v>
      </c>
      <c r="T9" s="75">
        <v>280</v>
      </c>
      <c r="U9" s="51" t="s">
        <v>520</v>
      </c>
      <c r="V9" s="79">
        <v>42583</v>
      </c>
      <c r="W9" s="80">
        <v>350</v>
      </c>
      <c r="X9" s="39" t="s">
        <v>612</v>
      </c>
      <c r="Y9" s="83">
        <v>42614</v>
      </c>
      <c r="Z9" s="84">
        <v>140</v>
      </c>
      <c r="AA9" s="66" t="s">
        <v>726</v>
      </c>
      <c r="AB9" s="85">
        <v>42646</v>
      </c>
      <c r="AC9" s="86">
        <v>280</v>
      </c>
      <c r="AD9" s="55" t="s">
        <v>682</v>
      </c>
      <c r="AE9" s="87">
        <v>42676</v>
      </c>
      <c r="AF9" s="88">
        <v>750</v>
      </c>
      <c r="AG9" s="58" t="s">
        <v>962</v>
      </c>
      <c r="AH9" s="121">
        <v>42706</v>
      </c>
      <c r="AI9" s="122">
        <v>1000</v>
      </c>
      <c r="AJ9" s="62" t="s">
        <v>1078</v>
      </c>
    </row>
    <row r="10" spans="1:36" x14ac:dyDescent="0.25">
      <c r="A10" s="9">
        <v>42373</v>
      </c>
      <c r="B10" s="91">
        <v>450</v>
      </c>
      <c r="C10" s="7" t="s">
        <v>22</v>
      </c>
      <c r="D10" s="25">
        <v>42402</v>
      </c>
      <c r="E10" s="23">
        <v>500</v>
      </c>
      <c r="F10" s="5" t="s">
        <v>97</v>
      </c>
      <c r="G10" s="68">
        <v>42433</v>
      </c>
      <c r="H10" s="69">
        <v>400</v>
      </c>
      <c r="I10" s="70" t="s">
        <v>185</v>
      </c>
      <c r="J10" s="34">
        <v>42464</v>
      </c>
      <c r="K10" s="93">
        <v>350</v>
      </c>
      <c r="L10" s="36" t="s">
        <v>281</v>
      </c>
      <c r="M10" s="92">
        <v>42493</v>
      </c>
      <c r="N10" s="95">
        <v>5</v>
      </c>
      <c r="O10" s="6" t="s">
        <v>351</v>
      </c>
      <c r="P10" s="98">
        <v>42522</v>
      </c>
      <c r="Q10" s="67">
        <v>31.8</v>
      </c>
      <c r="R10" s="27" t="s">
        <v>435</v>
      </c>
      <c r="S10" s="74">
        <v>42552</v>
      </c>
      <c r="T10" s="75">
        <v>200</v>
      </c>
      <c r="U10" s="51" t="s">
        <v>521</v>
      </c>
      <c r="V10" s="79">
        <v>42583</v>
      </c>
      <c r="W10" s="80">
        <v>350</v>
      </c>
      <c r="X10" s="39" t="s">
        <v>616</v>
      </c>
      <c r="Y10" s="83">
        <v>42614</v>
      </c>
      <c r="Z10" s="84">
        <v>349.5</v>
      </c>
      <c r="AA10" s="66" t="s">
        <v>727</v>
      </c>
      <c r="AB10" s="85">
        <v>42646</v>
      </c>
      <c r="AC10" s="86">
        <v>45</v>
      </c>
      <c r="AD10" s="55" t="s">
        <v>844</v>
      </c>
      <c r="AE10" s="87">
        <v>42676</v>
      </c>
      <c r="AF10" s="88">
        <v>400</v>
      </c>
      <c r="AG10" s="58" t="s">
        <v>963</v>
      </c>
      <c r="AH10" s="121">
        <v>42706</v>
      </c>
      <c r="AI10" s="122">
        <v>324</v>
      </c>
      <c r="AJ10" s="62" t="s">
        <v>1079</v>
      </c>
    </row>
    <row r="11" spans="1:36" x14ac:dyDescent="0.25">
      <c r="A11" s="9">
        <v>42373</v>
      </c>
      <c r="B11" s="91">
        <v>1200</v>
      </c>
      <c r="C11" s="7" t="s">
        <v>23</v>
      </c>
      <c r="D11" s="25">
        <v>42403</v>
      </c>
      <c r="E11" s="23">
        <v>35</v>
      </c>
      <c r="F11" s="23" t="s">
        <v>98</v>
      </c>
      <c r="G11" s="68">
        <v>42433</v>
      </c>
      <c r="H11" s="69">
        <v>73.900000000000006</v>
      </c>
      <c r="I11" s="70" t="s">
        <v>186</v>
      </c>
      <c r="J11" s="34">
        <v>42464</v>
      </c>
      <c r="K11" s="93">
        <v>180</v>
      </c>
      <c r="L11" s="35" t="s">
        <v>282</v>
      </c>
      <c r="M11" s="92">
        <v>42493</v>
      </c>
      <c r="N11" s="95">
        <v>1054</v>
      </c>
      <c r="O11" s="6" t="s">
        <v>352</v>
      </c>
      <c r="P11" s="98">
        <v>42523</v>
      </c>
      <c r="Q11" s="67">
        <v>255</v>
      </c>
      <c r="R11" s="27" t="s">
        <v>431</v>
      </c>
      <c r="S11" s="74">
        <v>42552</v>
      </c>
      <c r="T11" s="75">
        <v>1000</v>
      </c>
      <c r="U11" s="51" t="s">
        <v>522</v>
      </c>
      <c r="V11" s="79">
        <v>42583</v>
      </c>
      <c r="W11" s="80">
        <v>400</v>
      </c>
      <c r="X11" s="39" t="s">
        <v>667</v>
      </c>
      <c r="Y11" s="83">
        <v>42615</v>
      </c>
      <c r="Z11" s="84">
        <v>1000</v>
      </c>
      <c r="AA11" s="66" t="s">
        <v>728</v>
      </c>
      <c r="AB11" s="85">
        <v>42646</v>
      </c>
      <c r="AC11" s="86">
        <v>400</v>
      </c>
      <c r="AD11" s="55" t="s">
        <v>845</v>
      </c>
      <c r="AE11" s="87">
        <v>42372</v>
      </c>
      <c r="AF11" s="88">
        <v>310</v>
      </c>
      <c r="AG11" s="58" t="s">
        <v>964</v>
      </c>
      <c r="AH11" s="121">
        <v>42706</v>
      </c>
      <c r="AI11" s="122">
        <v>112.4</v>
      </c>
      <c r="AJ11" s="62" t="s">
        <v>1080</v>
      </c>
    </row>
    <row r="12" spans="1:36" x14ac:dyDescent="0.25">
      <c r="A12" s="9">
        <v>42374</v>
      </c>
      <c r="B12" s="91">
        <v>376.5</v>
      </c>
      <c r="C12" s="7" t="s">
        <v>24</v>
      </c>
      <c r="D12" s="25">
        <v>42403</v>
      </c>
      <c r="E12" s="23">
        <v>1000</v>
      </c>
      <c r="F12" s="78" t="s">
        <v>99</v>
      </c>
      <c r="G12" s="68">
        <v>42433</v>
      </c>
      <c r="H12" s="69">
        <v>110</v>
      </c>
      <c r="I12" s="70" t="s">
        <v>115</v>
      </c>
      <c r="J12" s="34">
        <v>42464</v>
      </c>
      <c r="K12" s="93">
        <v>207</v>
      </c>
      <c r="L12" s="35" t="s">
        <v>283</v>
      </c>
      <c r="M12" s="92">
        <v>42493</v>
      </c>
      <c r="N12" s="95">
        <v>950</v>
      </c>
      <c r="O12" s="97" t="s">
        <v>353</v>
      </c>
      <c r="P12" s="98">
        <v>42524</v>
      </c>
      <c r="Q12" s="67">
        <v>142</v>
      </c>
      <c r="R12" s="27" t="s">
        <v>433</v>
      </c>
      <c r="S12" s="74">
        <v>42552</v>
      </c>
      <c r="T12" s="75">
        <v>73</v>
      </c>
      <c r="U12" s="51" t="s">
        <v>523</v>
      </c>
      <c r="V12" s="79">
        <v>42584</v>
      </c>
      <c r="W12" s="80">
        <v>75.8</v>
      </c>
      <c r="X12" s="39" t="s">
        <v>613</v>
      </c>
      <c r="Y12" s="83">
        <v>42615</v>
      </c>
      <c r="Z12" s="84">
        <v>500</v>
      </c>
      <c r="AA12" s="66" t="s">
        <v>729</v>
      </c>
      <c r="AB12" s="85">
        <v>42648</v>
      </c>
      <c r="AC12" s="86">
        <v>791</v>
      </c>
      <c r="AD12" s="55" t="s">
        <v>846</v>
      </c>
      <c r="AE12" s="87">
        <v>42678</v>
      </c>
      <c r="AF12" s="88">
        <v>1000</v>
      </c>
      <c r="AG12" s="58" t="s">
        <v>965</v>
      </c>
      <c r="AH12" s="121">
        <v>42706</v>
      </c>
      <c r="AI12" s="122">
        <v>200</v>
      </c>
      <c r="AJ12" s="62" t="s">
        <v>1081</v>
      </c>
    </row>
    <row r="13" spans="1:36" x14ac:dyDescent="0.25">
      <c r="A13" s="9">
        <v>42374</v>
      </c>
      <c r="B13" s="91">
        <v>3</v>
      </c>
      <c r="C13" s="7" t="s">
        <v>25</v>
      </c>
      <c r="D13" s="25">
        <v>42403</v>
      </c>
      <c r="E13" s="23">
        <v>143.30000000000001</v>
      </c>
      <c r="F13" s="5" t="s">
        <v>100</v>
      </c>
      <c r="G13" s="68">
        <v>42433</v>
      </c>
      <c r="H13" s="69">
        <v>161</v>
      </c>
      <c r="I13" s="70" t="s">
        <v>187</v>
      </c>
      <c r="J13" s="34">
        <v>42464</v>
      </c>
      <c r="K13" s="93">
        <v>34</v>
      </c>
      <c r="L13" s="35" t="s">
        <v>284</v>
      </c>
      <c r="M13" s="92">
        <v>42494</v>
      </c>
      <c r="N13" s="95">
        <v>799</v>
      </c>
      <c r="O13" s="6" t="s">
        <v>354</v>
      </c>
      <c r="P13" s="98">
        <v>42524</v>
      </c>
      <c r="Q13" s="67">
        <v>90</v>
      </c>
      <c r="R13" s="27" t="s">
        <v>432</v>
      </c>
      <c r="S13" s="74">
        <v>42553</v>
      </c>
      <c r="T13" s="75">
        <v>94.7</v>
      </c>
      <c r="U13" s="51" t="s">
        <v>524</v>
      </c>
      <c r="V13" s="79">
        <v>42584</v>
      </c>
      <c r="W13" s="80">
        <v>799</v>
      </c>
      <c r="X13" s="39" t="s">
        <v>614</v>
      </c>
      <c r="Y13" s="83">
        <v>42616</v>
      </c>
      <c r="Z13" s="84">
        <v>1750</v>
      </c>
      <c r="AA13" s="66" t="s">
        <v>730</v>
      </c>
      <c r="AB13" s="85">
        <v>42648</v>
      </c>
      <c r="AC13" s="86">
        <v>400.9</v>
      </c>
      <c r="AD13" s="55" t="s">
        <v>847</v>
      </c>
      <c r="AE13" s="87">
        <v>42678</v>
      </c>
      <c r="AF13" s="88">
        <v>350</v>
      </c>
      <c r="AG13" s="58" t="s">
        <v>966</v>
      </c>
      <c r="AH13" s="121">
        <v>42707</v>
      </c>
      <c r="AI13" s="122">
        <v>735</v>
      </c>
      <c r="AJ13" s="62" t="s">
        <v>1082</v>
      </c>
    </row>
    <row r="14" spans="1:36" x14ac:dyDescent="0.25">
      <c r="A14" s="9">
        <v>42374</v>
      </c>
      <c r="B14" s="91">
        <v>350</v>
      </c>
      <c r="C14" s="7" t="s">
        <v>26</v>
      </c>
      <c r="D14" s="25">
        <v>42403</v>
      </c>
      <c r="E14" s="23">
        <v>250</v>
      </c>
      <c r="F14" s="5" t="s">
        <v>101</v>
      </c>
      <c r="G14" s="68">
        <v>42433</v>
      </c>
      <c r="H14" s="69">
        <v>40</v>
      </c>
      <c r="I14" s="70" t="s">
        <v>188</v>
      </c>
      <c r="J14" s="34">
        <v>42465</v>
      </c>
      <c r="K14" s="93">
        <v>360</v>
      </c>
      <c r="L14" s="35" t="s">
        <v>285</v>
      </c>
      <c r="M14" s="92">
        <v>42494</v>
      </c>
      <c r="N14" s="95">
        <v>263.2</v>
      </c>
      <c r="O14" s="6" t="s">
        <v>355</v>
      </c>
      <c r="P14" s="98">
        <v>42524</v>
      </c>
      <c r="Q14" s="67">
        <v>142</v>
      </c>
      <c r="R14" s="27" t="s">
        <v>433</v>
      </c>
      <c r="S14" s="74">
        <v>42554</v>
      </c>
      <c r="T14" s="75">
        <v>119</v>
      </c>
      <c r="U14" s="51" t="s">
        <v>523</v>
      </c>
      <c r="V14" s="79">
        <v>42585</v>
      </c>
      <c r="W14" s="80">
        <v>162</v>
      </c>
      <c r="X14" s="39" t="s">
        <v>615</v>
      </c>
      <c r="Y14" s="83">
        <v>42616</v>
      </c>
      <c r="Z14" s="84">
        <v>160.69999999999999</v>
      </c>
      <c r="AA14" s="66" t="s">
        <v>731</v>
      </c>
      <c r="AB14" s="85">
        <v>42648</v>
      </c>
      <c r="AC14" s="86">
        <v>246.7</v>
      </c>
      <c r="AD14" s="55" t="s">
        <v>848</v>
      </c>
      <c r="AE14" s="87">
        <v>42678</v>
      </c>
      <c r="AF14" s="88">
        <v>320</v>
      </c>
      <c r="AG14" s="58" t="s">
        <v>967</v>
      </c>
      <c r="AH14" s="121">
        <v>42707</v>
      </c>
      <c r="AI14" s="122">
        <v>500</v>
      </c>
      <c r="AJ14" s="62" t="s">
        <v>1083</v>
      </c>
    </row>
    <row r="15" spans="1:36" x14ac:dyDescent="0.25">
      <c r="A15" s="9">
        <v>42374</v>
      </c>
      <c r="B15" s="91">
        <v>1500</v>
      </c>
      <c r="C15" s="7" t="s">
        <v>27</v>
      </c>
      <c r="D15" s="25">
        <v>42403</v>
      </c>
      <c r="E15" s="23">
        <v>350</v>
      </c>
      <c r="F15" s="5" t="s">
        <v>102</v>
      </c>
      <c r="G15" s="68">
        <v>42433</v>
      </c>
      <c r="H15" s="69">
        <v>984</v>
      </c>
      <c r="I15" s="70" t="s">
        <v>190</v>
      </c>
      <c r="J15" s="34">
        <v>42465</v>
      </c>
      <c r="K15" s="93">
        <v>145</v>
      </c>
      <c r="L15" s="35" t="s">
        <v>37</v>
      </c>
      <c r="M15" s="92">
        <v>42495</v>
      </c>
      <c r="N15" s="95">
        <v>1100</v>
      </c>
      <c r="O15" s="6" t="s">
        <v>356</v>
      </c>
      <c r="P15" s="98">
        <v>42524</v>
      </c>
      <c r="Q15" s="67">
        <v>197.4</v>
      </c>
      <c r="R15" s="27" t="s">
        <v>434</v>
      </c>
      <c r="S15" s="74">
        <v>42555</v>
      </c>
      <c r="T15" s="75">
        <v>60</v>
      </c>
      <c r="U15" s="51" t="s">
        <v>525</v>
      </c>
      <c r="V15" s="79">
        <v>42585</v>
      </c>
      <c r="W15" s="80">
        <v>252.4</v>
      </c>
      <c r="X15" s="39" t="s">
        <v>618</v>
      </c>
      <c r="Y15" s="83">
        <v>42616</v>
      </c>
      <c r="Z15" s="84">
        <v>112</v>
      </c>
      <c r="AA15" s="66" t="s">
        <v>732</v>
      </c>
      <c r="AB15" s="85">
        <v>42648</v>
      </c>
      <c r="AC15" s="86">
        <v>10</v>
      </c>
      <c r="AD15" s="55" t="s">
        <v>849</v>
      </c>
      <c r="AE15" s="87">
        <v>42678</v>
      </c>
      <c r="AF15" s="88">
        <v>370</v>
      </c>
      <c r="AG15" s="58" t="s">
        <v>968</v>
      </c>
      <c r="AH15" s="121">
        <v>42707</v>
      </c>
      <c r="AI15" s="122">
        <v>132</v>
      </c>
      <c r="AJ15" s="62" t="s">
        <v>1084</v>
      </c>
    </row>
    <row r="16" spans="1:36" x14ac:dyDescent="0.25">
      <c r="A16" s="9">
        <v>42375</v>
      </c>
      <c r="B16" s="91">
        <v>1000</v>
      </c>
      <c r="C16" s="7" t="s">
        <v>28</v>
      </c>
      <c r="D16" s="25">
        <v>42404</v>
      </c>
      <c r="E16" s="23">
        <v>5000</v>
      </c>
      <c r="F16" s="5" t="s">
        <v>103</v>
      </c>
      <c r="G16" s="68">
        <v>42433</v>
      </c>
      <c r="H16" s="69">
        <v>20</v>
      </c>
      <c r="I16" s="70" t="s">
        <v>191</v>
      </c>
      <c r="J16" s="34">
        <v>42465</v>
      </c>
      <c r="K16" s="93">
        <v>100</v>
      </c>
      <c r="L16" s="35" t="s">
        <v>286</v>
      </c>
      <c r="M16" s="92">
        <v>42495</v>
      </c>
      <c r="N16" s="95">
        <v>47</v>
      </c>
      <c r="O16" s="6" t="s">
        <v>357</v>
      </c>
      <c r="P16" s="98">
        <v>42525</v>
      </c>
      <c r="Q16" s="67">
        <v>218.78</v>
      </c>
      <c r="R16" s="27" t="s">
        <v>435</v>
      </c>
      <c r="S16" s="74">
        <v>42555</v>
      </c>
      <c r="T16" s="75">
        <v>96</v>
      </c>
      <c r="U16" s="51" t="s">
        <v>526</v>
      </c>
      <c r="V16" s="79">
        <v>42585</v>
      </c>
      <c r="W16" s="80">
        <v>23.9</v>
      </c>
      <c r="X16" s="39" t="s">
        <v>619</v>
      </c>
      <c r="Y16" s="83">
        <v>42616</v>
      </c>
      <c r="Z16" s="84">
        <v>80</v>
      </c>
      <c r="AA16" s="66" t="s">
        <v>733</v>
      </c>
      <c r="AB16" s="85">
        <v>42649</v>
      </c>
      <c r="AC16" s="86">
        <v>37.9</v>
      </c>
      <c r="AD16" s="55" t="s">
        <v>850</v>
      </c>
      <c r="AE16" s="87">
        <v>42678</v>
      </c>
      <c r="AF16" s="88">
        <v>50</v>
      </c>
      <c r="AG16" s="58" t="s">
        <v>969</v>
      </c>
      <c r="AH16" s="121">
        <v>42708</v>
      </c>
      <c r="AI16" s="122">
        <v>150</v>
      </c>
      <c r="AJ16" s="62" t="s">
        <v>1085</v>
      </c>
    </row>
    <row r="17" spans="1:36" x14ac:dyDescent="0.25">
      <c r="A17" s="9">
        <v>42376</v>
      </c>
      <c r="B17" s="91">
        <v>600</v>
      </c>
      <c r="C17" s="7" t="s">
        <v>29</v>
      </c>
      <c r="D17" s="25">
        <v>42404</v>
      </c>
      <c r="E17" s="23">
        <v>300</v>
      </c>
      <c r="F17" s="5" t="s">
        <v>104</v>
      </c>
      <c r="G17" s="68">
        <v>42433</v>
      </c>
      <c r="H17" s="69">
        <v>1000</v>
      </c>
      <c r="I17" s="70" t="s">
        <v>192</v>
      </c>
      <c r="J17" s="34">
        <v>42466</v>
      </c>
      <c r="K17" s="93">
        <v>1200</v>
      </c>
      <c r="L17" s="35" t="s">
        <v>287</v>
      </c>
      <c r="M17" s="92">
        <v>42495</v>
      </c>
      <c r="N17" s="95">
        <v>500</v>
      </c>
      <c r="O17" s="6" t="s">
        <v>358</v>
      </c>
      <c r="P17" s="98">
        <v>42525</v>
      </c>
      <c r="Q17" s="67">
        <v>15</v>
      </c>
      <c r="R17" s="27" t="s">
        <v>436</v>
      </c>
      <c r="S17" s="74">
        <v>42555</v>
      </c>
      <c r="T17" s="75">
        <v>430</v>
      </c>
      <c r="U17" s="51" t="s">
        <v>527</v>
      </c>
      <c r="V17" s="79">
        <v>42585</v>
      </c>
      <c r="W17" s="80">
        <v>160</v>
      </c>
      <c r="X17" s="39" t="s">
        <v>620</v>
      </c>
      <c r="Y17" s="83">
        <v>42616</v>
      </c>
      <c r="Z17" s="84">
        <v>1337.58</v>
      </c>
      <c r="AA17" s="66" t="s">
        <v>734</v>
      </c>
      <c r="AB17" s="85">
        <v>42649</v>
      </c>
      <c r="AC17" s="86">
        <v>5</v>
      </c>
      <c r="AD17" s="55" t="s">
        <v>851</v>
      </c>
      <c r="AE17" s="87">
        <v>42678</v>
      </c>
      <c r="AF17" s="88">
        <v>350</v>
      </c>
      <c r="AG17" s="58" t="s">
        <v>970</v>
      </c>
      <c r="AH17" s="121">
        <v>42708</v>
      </c>
      <c r="AI17" s="122">
        <v>120</v>
      </c>
      <c r="AJ17" s="62" t="s">
        <v>843</v>
      </c>
    </row>
    <row r="18" spans="1:36" x14ac:dyDescent="0.25">
      <c r="A18" s="9">
        <v>42376</v>
      </c>
      <c r="B18" s="91">
        <v>245</v>
      </c>
      <c r="C18" s="7" t="s">
        <v>30</v>
      </c>
      <c r="D18" s="25">
        <v>42404</v>
      </c>
      <c r="E18" s="23">
        <v>48.5</v>
      </c>
      <c r="F18" s="5" t="s">
        <v>105</v>
      </c>
      <c r="G18" s="68">
        <v>42433</v>
      </c>
      <c r="H18" s="69">
        <v>70</v>
      </c>
      <c r="I18" s="70" t="s">
        <v>193</v>
      </c>
      <c r="J18" s="34">
        <v>42467</v>
      </c>
      <c r="K18" s="93">
        <v>319.75</v>
      </c>
      <c r="L18" s="35" t="s">
        <v>288</v>
      </c>
      <c r="M18" s="92">
        <v>42495</v>
      </c>
      <c r="N18" s="95">
        <v>1449.4</v>
      </c>
      <c r="O18" s="6" t="s">
        <v>359</v>
      </c>
      <c r="P18" s="98">
        <v>42525</v>
      </c>
      <c r="Q18" s="67">
        <v>89</v>
      </c>
      <c r="R18" s="27" t="s">
        <v>437</v>
      </c>
      <c r="S18" s="74">
        <v>42558</v>
      </c>
      <c r="T18" s="75">
        <v>113</v>
      </c>
      <c r="U18" s="51" t="s">
        <v>244</v>
      </c>
      <c r="V18" s="79">
        <v>42586</v>
      </c>
      <c r="W18" s="80">
        <v>193</v>
      </c>
      <c r="X18" s="39" t="s">
        <v>621</v>
      </c>
      <c r="Y18" s="83">
        <v>42616</v>
      </c>
      <c r="Z18" s="84">
        <v>179.99</v>
      </c>
      <c r="AA18" s="66" t="s">
        <v>735</v>
      </c>
      <c r="AB18" s="85">
        <v>42649</v>
      </c>
      <c r="AC18" s="86">
        <v>49.3</v>
      </c>
      <c r="AD18" s="55" t="s">
        <v>852</v>
      </c>
      <c r="AE18" s="87">
        <v>42678</v>
      </c>
      <c r="AF18" s="88">
        <v>100</v>
      </c>
      <c r="AG18" s="58" t="s">
        <v>971</v>
      </c>
      <c r="AH18" s="121">
        <v>42708</v>
      </c>
      <c r="AI18" s="122">
        <v>615</v>
      </c>
      <c r="AJ18" s="62" t="s">
        <v>1086</v>
      </c>
    </row>
    <row r="19" spans="1:36" x14ac:dyDescent="0.25">
      <c r="A19" s="9">
        <v>42377</v>
      </c>
      <c r="B19" s="91">
        <v>1000</v>
      </c>
      <c r="C19" s="7" t="s">
        <v>17</v>
      </c>
      <c r="D19" s="25">
        <v>42404</v>
      </c>
      <c r="E19" s="23">
        <v>180</v>
      </c>
      <c r="F19" s="5" t="s">
        <v>106</v>
      </c>
      <c r="G19" s="68">
        <v>42433</v>
      </c>
      <c r="H19" s="69">
        <v>900</v>
      </c>
      <c r="I19" s="70" t="s">
        <v>194</v>
      </c>
      <c r="J19" s="34">
        <v>42467</v>
      </c>
      <c r="K19" s="93">
        <v>360</v>
      </c>
      <c r="L19" s="35" t="s">
        <v>289</v>
      </c>
      <c r="M19" s="92">
        <v>42496</v>
      </c>
      <c r="N19" s="95">
        <v>141</v>
      </c>
      <c r="O19" s="6" t="s">
        <v>361</v>
      </c>
      <c r="P19" s="98">
        <v>42525</v>
      </c>
      <c r="Q19" s="67">
        <v>5</v>
      </c>
      <c r="R19" s="27" t="s">
        <v>438</v>
      </c>
      <c r="S19" s="74">
        <v>42555</v>
      </c>
      <c r="T19" s="75">
        <v>400</v>
      </c>
      <c r="U19" s="51" t="s">
        <v>528</v>
      </c>
      <c r="V19" s="79">
        <v>42587</v>
      </c>
      <c r="W19" s="80">
        <v>1000</v>
      </c>
      <c r="X19" s="39" t="s">
        <v>623</v>
      </c>
      <c r="Y19" s="83">
        <v>42616</v>
      </c>
      <c r="Z19" s="84">
        <v>40</v>
      </c>
      <c r="AA19" s="66" t="s">
        <v>736</v>
      </c>
      <c r="AB19" s="85">
        <v>42649</v>
      </c>
      <c r="AC19" s="86">
        <v>350</v>
      </c>
      <c r="AD19" s="55" t="s">
        <v>853</v>
      </c>
      <c r="AE19" s="87">
        <v>42678</v>
      </c>
      <c r="AF19" s="88">
        <v>3000</v>
      </c>
      <c r="AG19" s="87" t="s">
        <v>972</v>
      </c>
      <c r="AH19" s="121">
        <v>42708</v>
      </c>
      <c r="AI19" s="122">
        <v>385</v>
      </c>
      <c r="AJ19" s="62" t="s">
        <v>1087</v>
      </c>
    </row>
    <row r="20" spans="1:36" x14ac:dyDescent="0.25">
      <c r="A20" s="9">
        <v>42377</v>
      </c>
      <c r="B20" s="91">
        <v>25</v>
      </c>
      <c r="C20" s="7" t="s">
        <v>31</v>
      </c>
      <c r="D20" s="25">
        <v>42404</v>
      </c>
      <c r="E20" s="23">
        <v>35</v>
      </c>
      <c r="F20" s="5" t="s">
        <v>107</v>
      </c>
      <c r="G20" s="68">
        <v>42433</v>
      </c>
      <c r="H20" s="69">
        <v>400</v>
      </c>
      <c r="I20" s="71" t="s">
        <v>185</v>
      </c>
      <c r="J20" s="34">
        <v>42467</v>
      </c>
      <c r="K20" s="93">
        <v>163</v>
      </c>
      <c r="L20" s="35" t="s">
        <v>290</v>
      </c>
      <c r="M20" s="92">
        <v>42496</v>
      </c>
      <c r="N20" s="95">
        <v>56.5</v>
      </c>
      <c r="O20" s="6" t="s">
        <v>361</v>
      </c>
      <c r="P20" s="98">
        <v>42526</v>
      </c>
      <c r="Q20" s="67">
        <v>90</v>
      </c>
      <c r="R20" s="27" t="s">
        <v>439</v>
      </c>
      <c r="S20" s="74">
        <v>42557</v>
      </c>
      <c r="T20" s="75">
        <v>70</v>
      </c>
      <c r="U20" s="51" t="s">
        <v>216</v>
      </c>
      <c r="V20" s="79">
        <v>42587</v>
      </c>
      <c r="W20" s="80">
        <v>150</v>
      </c>
      <c r="X20" s="39" t="s">
        <v>624</v>
      </c>
      <c r="Y20" s="83">
        <v>42616</v>
      </c>
      <c r="Z20" s="84">
        <v>500</v>
      </c>
      <c r="AA20" s="66" t="s">
        <v>737</v>
      </c>
      <c r="AB20" s="85">
        <v>42649</v>
      </c>
      <c r="AC20" s="86">
        <v>100</v>
      </c>
      <c r="AD20" s="55" t="s">
        <v>854</v>
      </c>
      <c r="AE20" s="87">
        <v>42679</v>
      </c>
      <c r="AF20" s="88">
        <v>500</v>
      </c>
      <c r="AG20" s="58" t="s">
        <v>973</v>
      </c>
      <c r="AH20" s="121">
        <v>42708</v>
      </c>
      <c r="AI20" s="122">
        <v>192</v>
      </c>
      <c r="AJ20" s="62" t="s">
        <v>1088</v>
      </c>
    </row>
    <row r="21" spans="1:36" x14ac:dyDescent="0.25">
      <c r="A21" s="9">
        <v>42377</v>
      </c>
      <c r="B21" s="91">
        <v>1200</v>
      </c>
      <c r="C21" s="7" t="s">
        <v>32</v>
      </c>
      <c r="D21" s="25">
        <v>42404</v>
      </c>
      <c r="E21" s="23">
        <v>130</v>
      </c>
      <c r="F21" s="5" t="s">
        <v>108</v>
      </c>
      <c r="G21" s="68">
        <v>42434</v>
      </c>
      <c r="H21" s="69">
        <v>330</v>
      </c>
      <c r="I21" s="70" t="s">
        <v>195</v>
      </c>
      <c r="J21" s="34">
        <v>42467</v>
      </c>
      <c r="K21" s="93">
        <v>29</v>
      </c>
      <c r="L21" s="35" t="s">
        <v>290</v>
      </c>
      <c r="M21" s="92">
        <v>42496</v>
      </c>
      <c r="N21" s="95">
        <v>750</v>
      </c>
      <c r="O21" s="6" t="s">
        <v>362</v>
      </c>
      <c r="P21" s="98">
        <v>42526</v>
      </c>
      <c r="Q21" s="67">
        <v>100</v>
      </c>
      <c r="R21" s="27" t="s">
        <v>440</v>
      </c>
      <c r="S21" s="74">
        <v>42557</v>
      </c>
      <c r="T21" s="75">
        <v>215.6</v>
      </c>
      <c r="U21" s="51" t="s">
        <v>529</v>
      </c>
      <c r="V21" s="79">
        <v>42588</v>
      </c>
      <c r="W21" s="80">
        <v>350</v>
      </c>
      <c r="X21" s="39" t="s">
        <v>625</v>
      </c>
      <c r="Y21" s="83">
        <v>42616</v>
      </c>
      <c r="Z21" s="84">
        <v>500</v>
      </c>
      <c r="AA21" s="66" t="s">
        <v>738</v>
      </c>
      <c r="AB21" s="85">
        <v>42650</v>
      </c>
      <c r="AC21" s="86">
        <v>320</v>
      </c>
      <c r="AD21" s="55" t="s">
        <v>855</v>
      </c>
      <c r="AE21" s="87">
        <v>42679</v>
      </c>
      <c r="AF21" s="88">
        <v>120</v>
      </c>
      <c r="AG21" s="58" t="s">
        <v>974</v>
      </c>
      <c r="AH21" s="121">
        <v>42709</v>
      </c>
      <c r="AI21" s="122">
        <v>400</v>
      </c>
      <c r="AJ21" s="62" t="s">
        <v>1089</v>
      </c>
    </row>
    <row r="22" spans="1:36" x14ac:dyDescent="0.25">
      <c r="A22" s="9">
        <v>42377</v>
      </c>
      <c r="B22" s="91">
        <v>500</v>
      </c>
      <c r="C22" s="7" t="s">
        <v>33</v>
      </c>
      <c r="D22" s="25">
        <v>42404</v>
      </c>
      <c r="E22" s="23">
        <v>88</v>
      </c>
      <c r="F22" s="5" t="s">
        <v>109</v>
      </c>
      <c r="G22" s="68">
        <v>42435</v>
      </c>
      <c r="H22" s="69">
        <v>72</v>
      </c>
      <c r="I22" s="70" t="s">
        <v>196</v>
      </c>
      <c r="J22" s="34">
        <v>42467</v>
      </c>
      <c r="K22" s="93">
        <v>440</v>
      </c>
      <c r="L22" s="35" t="s">
        <v>291</v>
      </c>
      <c r="M22" s="92">
        <v>42496</v>
      </c>
      <c r="N22" s="95">
        <v>175</v>
      </c>
      <c r="O22" s="6" t="s">
        <v>155</v>
      </c>
      <c r="P22" s="98">
        <v>42527</v>
      </c>
      <c r="Q22" s="67">
        <v>78</v>
      </c>
      <c r="R22" s="27" t="s">
        <v>441</v>
      </c>
      <c r="S22" s="74">
        <v>42557</v>
      </c>
      <c r="T22" s="75">
        <v>1990.88</v>
      </c>
      <c r="U22" s="51" t="s">
        <v>530</v>
      </c>
      <c r="V22" s="79">
        <v>42589</v>
      </c>
      <c r="W22" s="80">
        <v>400</v>
      </c>
      <c r="X22" s="39" t="s">
        <v>626</v>
      </c>
      <c r="Y22" s="83">
        <v>42617</v>
      </c>
      <c r="Z22" s="84">
        <v>168</v>
      </c>
      <c r="AA22" s="66" t="s">
        <v>739</v>
      </c>
      <c r="AB22" s="85">
        <v>42650</v>
      </c>
      <c r="AC22" s="86">
        <v>250</v>
      </c>
      <c r="AD22" s="55" t="s">
        <v>856</v>
      </c>
      <c r="AE22" s="87">
        <v>42680</v>
      </c>
      <c r="AF22" s="88">
        <v>154.88999999999999</v>
      </c>
      <c r="AG22" s="58" t="s">
        <v>975</v>
      </c>
      <c r="AH22" s="121">
        <v>42709</v>
      </c>
      <c r="AI22" s="122">
        <v>45</v>
      </c>
      <c r="AJ22" s="62" t="s">
        <v>1090</v>
      </c>
    </row>
    <row r="23" spans="1:36" x14ac:dyDescent="0.25">
      <c r="A23" s="9">
        <v>42380</v>
      </c>
      <c r="B23" s="91">
        <v>300</v>
      </c>
      <c r="C23" s="7" t="s">
        <v>34</v>
      </c>
      <c r="D23" s="25">
        <v>42405</v>
      </c>
      <c r="E23" s="23">
        <v>1000</v>
      </c>
      <c r="F23" s="5" t="s">
        <v>17</v>
      </c>
      <c r="G23" s="68">
        <v>42435</v>
      </c>
      <c r="H23" s="69">
        <v>150</v>
      </c>
      <c r="I23" s="70" t="s">
        <v>197</v>
      </c>
      <c r="J23" s="34">
        <v>42467</v>
      </c>
      <c r="K23" s="93">
        <v>991</v>
      </c>
      <c r="L23" s="35" t="s">
        <v>292</v>
      </c>
      <c r="M23" s="92">
        <v>42496</v>
      </c>
      <c r="N23" s="95">
        <v>1000</v>
      </c>
      <c r="O23" s="6" t="s">
        <v>363</v>
      </c>
      <c r="P23" s="98">
        <v>42527</v>
      </c>
      <c r="Q23" s="67">
        <v>190</v>
      </c>
      <c r="R23" s="27" t="s">
        <v>442</v>
      </c>
      <c r="S23" s="74">
        <v>42557</v>
      </c>
      <c r="T23" s="75">
        <v>3586.15</v>
      </c>
      <c r="U23" s="51" t="s">
        <v>531</v>
      </c>
      <c r="V23" s="79">
        <v>42589</v>
      </c>
      <c r="W23" s="80">
        <v>75</v>
      </c>
      <c r="X23" s="39" t="s">
        <v>555</v>
      </c>
      <c r="Y23" s="83">
        <v>42617</v>
      </c>
      <c r="Z23" s="84">
        <v>120</v>
      </c>
      <c r="AA23" s="66" t="s">
        <v>740</v>
      </c>
      <c r="AB23" s="85">
        <v>42650</v>
      </c>
      <c r="AC23" s="86">
        <v>1000</v>
      </c>
      <c r="AD23" s="55" t="s">
        <v>857</v>
      </c>
      <c r="AE23" s="87">
        <v>42681</v>
      </c>
      <c r="AF23" s="88">
        <v>400</v>
      </c>
      <c r="AG23" s="58" t="s">
        <v>976</v>
      </c>
      <c r="AH23" s="121">
        <v>42709</v>
      </c>
      <c r="AI23" s="122">
        <v>175</v>
      </c>
      <c r="AJ23" s="62" t="s">
        <v>1091</v>
      </c>
    </row>
    <row r="24" spans="1:36" x14ac:dyDescent="0.25">
      <c r="A24" s="9">
        <v>42380</v>
      </c>
      <c r="B24" s="91">
        <v>500</v>
      </c>
      <c r="C24" s="7" t="s">
        <v>35</v>
      </c>
      <c r="D24" s="25">
        <v>42405</v>
      </c>
      <c r="E24" s="23">
        <v>192</v>
      </c>
      <c r="F24" s="5" t="s">
        <v>50</v>
      </c>
      <c r="G24" s="68">
        <v>42435</v>
      </c>
      <c r="H24" s="69">
        <v>150</v>
      </c>
      <c r="I24" s="70" t="s">
        <v>204</v>
      </c>
      <c r="J24" s="34">
        <v>42468</v>
      </c>
      <c r="K24" s="93">
        <v>1000</v>
      </c>
      <c r="L24" s="35" t="s">
        <v>293</v>
      </c>
      <c r="M24" s="92">
        <v>42498</v>
      </c>
      <c r="N24" s="95">
        <v>81.5</v>
      </c>
      <c r="O24" s="6" t="s">
        <v>364</v>
      </c>
      <c r="P24" s="98">
        <v>42527</v>
      </c>
      <c r="Q24" s="67">
        <v>1636.07</v>
      </c>
      <c r="R24" s="27" t="s">
        <v>443</v>
      </c>
      <c r="S24" s="74">
        <v>42558</v>
      </c>
      <c r="T24" s="75">
        <v>457.1</v>
      </c>
      <c r="U24" s="51" t="s">
        <v>532</v>
      </c>
      <c r="V24" s="79">
        <v>42590</v>
      </c>
      <c r="W24" s="80">
        <v>400</v>
      </c>
      <c r="X24" s="39" t="s">
        <v>627</v>
      </c>
      <c r="Y24" s="83">
        <v>42617</v>
      </c>
      <c r="Z24" s="84">
        <v>150</v>
      </c>
      <c r="AA24" s="66" t="s">
        <v>741</v>
      </c>
      <c r="AB24" s="85">
        <v>42650</v>
      </c>
      <c r="AC24" s="86">
        <v>400</v>
      </c>
      <c r="AD24" s="55" t="s">
        <v>858</v>
      </c>
      <c r="AE24" s="87">
        <v>42681</v>
      </c>
      <c r="AF24" s="88">
        <v>310</v>
      </c>
      <c r="AG24" s="58" t="s">
        <v>964</v>
      </c>
      <c r="AH24" s="121">
        <v>42709</v>
      </c>
      <c r="AI24" s="122">
        <v>398</v>
      </c>
      <c r="AJ24" s="62" t="s">
        <v>1092</v>
      </c>
    </row>
    <row r="25" spans="1:36" x14ac:dyDescent="0.25">
      <c r="A25" s="9">
        <v>42380</v>
      </c>
      <c r="B25" s="91">
        <v>450</v>
      </c>
      <c r="C25" s="7" t="s">
        <v>36</v>
      </c>
      <c r="D25" s="25" t="s">
        <v>110</v>
      </c>
      <c r="E25" s="23">
        <v>520</v>
      </c>
      <c r="F25" s="5" t="s">
        <v>111</v>
      </c>
      <c r="G25" s="68">
        <v>42436</v>
      </c>
      <c r="H25" s="69">
        <v>600</v>
      </c>
      <c r="I25" s="70" t="s">
        <v>198</v>
      </c>
      <c r="J25" s="34">
        <v>42470</v>
      </c>
      <c r="K25" s="93">
        <v>100</v>
      </c>
      <c r="L25" s="35" t="s">
        <v>279</v>
      </c>
      <c r="M25" s="92">
        <v>42498</v>
      </c>
      <c r="N25" s="95">
        <v>100</v>
      </c>
      <c r="O25" s="6" t="s">
        <v>365</v>
      </c>
      <c r="P25" s="98">
        <v>42527</v>
      </c>
      <c r="Q25" s="67">
        <v>1137</v>
      </c>
      <c r="R25" s="27" t="s">
        <v>444</v>
      </c>
      <c r="S25" s="74">
        <v>42558</v>
      </c>
      <c r="T25" s="75">
        <v>58.5</v>
      </c>
      <c r="U25" s="51" t="s">
        <v>532</v>
      </c>
      <c r="V25" s="79">
        <v>42590</v>
      </c>
      <c r="W25" s="80">
        <v>1200</v>
      </c>
      <c r="X25" s="81" t="s">
        <v>628</v>
      </c>
      <c r="Y25" s="83">
        <v>42617</v>
      </c>
      <c r="Z25" s="84">
        <v>237</v>
      </c>
      <c r="AA25" s="66" t="s">
        <v>742</v>
      </c>
      <c r="AB25" s="85">
        <v>42651</v>
      </c>
      <c r="AC25" s="86">
        <v>500</v>
      </c>
      <c r="AD25" s="55" t="s">
        <v>859</v>
      </c>
      <c r="AE25" s="87">
        <v>42681</v>
      </c>
      <c r="AF25" s="88">
        <v>279.60000000000002</v>
      </c>
      <c r="AG25" s="58" t="s">
        <v>977</v>
      </c>
      <c r="AH25" s="121">
        <v>42709</v>
      </c>
      <c r="AI25" s="122">
        <v>900</v>
      </c>
      <c r="AJ25" s="62" t="s">
        <v>1093</v>
      </c>
    </row>
    <row r="26" spans="1:36" x14ac:dyDescent="0.25">
      <c r="A26" s="9">
        <v>42380</v>
      </c>
      <c r="B26" s="91">
        <v>142</v>
      </c>
      <c r="C26" s="7" t="s">
        <v>37</v>
      </c>
      <c r="D26" s="25">
        <v>42406</v>
      </c>
      <c r="E26" s="23">
        <v>350</v>
      </c>
      <c r="F26" s="5" t="s">
        <v>156</v>
      </c>
      <c r="G26" s="68">
        <v>42436</v>
      </c>
      <c r="H26" s="69">
        <v>2050</v>
      </c>
      <c r="I26" s="70" t="s">
        <v>199</v>
      </c>
      <c r="J26" s="34">
        <v>42470</v>
      </c>
      <c r="K26" s="93">
        <v>87</v>
      </c>
      <c r="L26" s="35" t="s">
        <v>278</v>
      </c>
      <c r="M26" s="92">
        <v>42499</v>
      </c>
      <c r="N26" s="95">
        <v>50</v>
      </c>
      <c r="O26" s="6" t="s">
        <v>366</v>
      </c>
      <c r="P26" s="98">
        <v>42528</v>
      </c>
      <c r="Q26" s="67">
        <v>90</v>
      </c>
      <c r="R26" s="27" t="s">
        <v>445</v>
      </c>
      <c r="S26" s="74">
        <v>42558</v>
      </c>
      <c r="T26" s="75">
        <v>785.5</v>
      </c>
      <c r="U26" s="51" t="s">
        <v>532</v>
      </c>
      <c r="V26" s="79">
        <v>42590</v>
      </c>
      <c r="W26" s="80">
        <v>250</v>
      </c>
      <c r="X26" s="82" t="s">
        <v>629</v>
      </c>
      <c r="Y26" s="83">
        <v>42618</v>
      </c>
      <c r="Z26" s="84">
        <v>350</v>
      </c>
      <c r="AA26" s="66" t="s">
        <v>743</v>
      </c>
      <c r="AB26" s="85">
        <v>42652</v>
      </c>
      <c r="AC26" s="86">
        <v>148</v>
      </c>
      <c r="AD26" s="55" t="s">
        <v>860</v>
      </c>
      <c r="AE26" s="87">
        <v>42682</v>
      </c>
      <c r="AF26" s="88">
        <v>350</v>
      </c>
      <c r="AG26" s="58" t="s">
        <v>978</v>
      </c>
      <c r="AH26" s="121">
        <v>42709</v>
      </c>
      <c r="AI26" s="122">
        <v>350</v>
      </c>
      <c r="AJ26" s="62" t="s">
        <v>1094</v>
      </c>
    </row>
    <row r="27" spans="1:36" x14ac:dyDescent="0.25">
      <c r="A27" s="9">
        <v>42381</v>
      </c>
      <c r="B27" s="91">
        <v>1073</v>
      </c>
      <c r="C27" s="77" t="s">
        <v>38</v>
      </c>
      <c r="D27" s="25">
        <v>42407</v>
      </c>
      <c r="E27" s="23">
        <v>120</v>
      </c>
      <c r="F27" s="5" t="s">
        <v>112</v>
      </c>
      <c r="G27" s="68">
        <v>42436</v>
      </c>
      <c r="H27" s="69">
        <v>263.2</v>
      </c>
      <c r="I27" s="70" t="s">
        <v>200</v>
      </c>
      <c r="J27" s="34">
        <v>42471</v>
      </c>
      <c r="K27" s="93">
        <v>120.2</v>
      </c>
      <c r="L27" s="35" t="s">
        <v>294</v>
      </c>
      <c r="M27" s="92">
        <v>42499</v>
      </c>
      <c r="N27" s="95">
        <v>142</v>
      </c>
      <c r="O27" s="6" t="s">
        <v>37</v>
      </c>
      <c r="P27" s="98">
        <v>42528</v>
      </c>
      <c r="Q27" s="67">
        <v>37.5</v>
      </c>
      <c r="R27" s="27" t="s">
        <v>446</v>
      </c>
      <c r="S27" s="74">
        <v>42558</v>
      </c>
      <c r="T27" s="75">
        <v>300</v>
      </c>
      <c r="U27" s="51" t="s">
        <v>533</v>
      </c>
      <c r="V27" s="79">
        <v>42590</v>
      </c>
      <c r="W27" s="80">
        <v>400</v>
      </c>
      <c r="X27" s="39" t="s">
        <v>630</v>
      </c>
      <c r="Y27" s="83">
        <v>42618</v>
      </c>
      <c r="Z27" s="84">
        <v>350</v>
      </c>
      <c r="AA27" s="66" t="s">
        <v>744</v>
      </c>
      <c r="AB27" s="85">
        <v>42652</v>
      </c>
      <c r="AC27" s="86">
        <v>120</v>
      </c>
      <c r="AD27" s="55" t="s">
        <v>843</v>
      </c>
      <c r="AE27" s="87">
        <v>42682</v>
      </c>
      <c r="AF27" s="88">
        <v>786</v>
      </c>
      <c r="AG27" s="58" t="s">
        <v>979</v>
      </c>
      <c r="AH27" s="121">
        <v>42709</v>
      </c>
      <c r="AI27" s="122">
        <v>320</v>
      </c>
      <c r="AJ27" s="62" t="s">
        <v>1095</v>
      </c>
    </row>
    <row r="28" spans="1:36" x14ac:dyDescent="0.25">
      <c r="A28" s="9">
        <v>42686</v>
      </c>
      <c r="B28" s="91">
        <v>1760</v>
      </c>
      <c r="C28" s="7" t="s">
        <v>39</v>
      </c>
      <c r="D28" s="25">
        <v>42408</v>
      </c>
      <c r="E28" s="23">
        <v>500</v>
      </c>
      <c r="F28" s="5" t="s">
        <v>113</v>
      </c>
      <c r="G28" s="68">
        <v>42436</v>
      </c>
      <c r="H28" s="69">
        <v>6799</v>
      </c>
      <c r="I28" s="70" t="s">
        <v>201</v>
      </c>
      <c r="J28" s="34">
        <v>42471</v>
      </c>
      <c r="K28" s="93">
        <v>110</v>
      </c>
      <c r="L28" s="35" t="s">
        <v>295</v>
      </c>
      <c r="M28" s="92">
        <v>42499</v>
      </c>
      <c r="N28" s="95">
        <v>300</v>
      </c>
      <c r="O28" s="6" t="s">
        <v>367</v>
      </c>
      <c r="P28" s="98">
        <v>42528</v>
      </c>
      <c r="Q28" s="67">
        <v>66</v>
      </c>
      <c r="R28" s="27" t="s">
        <v>447</v>
      </c>
      <c r="S28" s="74">
        <v>42558</v>
      </c>
      <c r="T28" s="75">
        <v>130</v>
      </c>
      <c r="U28" s="51" t="s">
        <v>37</v>
      </c>
      <c r="V28" s="79">
        <v>42590</v>
      </c>
      <c r="W28" s="80">
        <v>250</v>
      </c>
      <c r="X28" s="39" t="s">
        <v>656</v>
      </c>
      <c r="Y28" s="83">
        <v>42618</v>
      </c>
      <c r="Z28" s="84">
        <v>700</v>
      </c>
      <c r="AA28" s="66" t="s">
        <v>745</v>
      </c>
      <c r="AB28" s="85">
        <v>42652</v>
      </c>
      <c r="AC28" s="86">
        <v>150</v>
      </c>
      <c r="AD28" s="55" t="s">
        <v>861</v>
      </c>
      <c r="AE28" s="87">
        <v>42682</v>
      </c>
      <c r="AF28" s="88">
        <v>400</v>
      </c>
      <c r="AG28" s="58" t="s">
        <v>980</v>
      </c>
      <c r="AH28" s="121">
        <v>42709</v>
      </c>
      <c r="AI28" s="122">
        <v>250</v>
      </c>
      <c r="AJ28" s="62" t="s">
        <v>1096</v>
      </c>
    </row>
    <row r="29" spans="1:36" x14ac:dyDescent="0.25">
      <c r="A29" s="9">
        <v>42686</v>
      </c>
      <c r="B29" s="91">
        <v>1224</v>
      </c>
      <c r="C29" s="106" t="s">
        <v>40</v>
      </c>
      <c r="D29" s="25">
        <v>42408</v>
      </c>
      <c r="E29" s="23">
        <v>1400</v>
      </c>
      <c r="F29" s="5" t="s">
        <v>114</v>
      </c>
      <c r="G29" s="68">
        <v>42436</v>
      </c>
      <c r="H29" s="69">
        <v>25</v>
      </c>
      <c r="I29" s="70" t="s">
        <v>202</v>
      </c>
      <c r="J29" s="34">
        <v>42471</v>
      </c>
      <c r="K29" s="93">
        <v>56</v>
      </c>
      <c r="L29" s="35" t="s">
        <v>296</v>
      </c>
      <c r="M29" s="92">
        <v>42499</v>
      </c>
      <c r="N29" s="95">
        <v>400</v>
      </c>
      <c r="O29" s="6" t="s">
        <v>368</v>
      </c>
      <c r="P29" s="98">
        <v>42528</v>
      </c>
      <c r="Q29" s="67">
        <v>88</v>
      </c>
      <c r="R29" s="27" t="s">
        <v>448</v>
      </c>
      <c r="S29" s="74">
        <v>42559</v>
      </c>
      <c r="T29" s="75">
        <v>1000</v>
      </c>
      <c r="U29" s="51" t="s">
        <v>534</v>
      </c>
      <c r="V29" s="79">
        <v>42590</v>
      </c>
      <c r="W29" s="80">
        <v>345</v>
      </c>
      <c r="X29" s="39" t="s">
        <v>631</v>
      </c>
      <c r="Y29" s="83">
        <v>42618</v>
      </c>
      <c r="Z29" s="84">
        <v>330</v>
      </c>
      <c r="AA29" s="66" t="s">
        <v>746</v>
      </c>
      <c r="AB29" s="85">
        <v>42653</v>
      </c>
      <c r="AC29" s="86">
        <v>200</v>
      </c>
      <c r="AD29" s="55" t="s">
        <v>862</v>
      </c>
      <c r="AE29" s="87">
        <v>42683</v>
      </c>
      <c r="AF29" s="88">
        <v>15</v>
      </c>
      <c r="AG29" s="58" t="s">
        <v>981</v>
      </c>
      <c r="AH29" s="121">
        <v>42709</v>
      </c>
      <c r="AI29" s="122">
        <v>200</v>
      </c>
      <c r="AJ29" s="62" t="s">
        <v>1098</v>
      </c>
    </row>
    <row r="30" spans="1:36" x14ac:dyDescent="0.25">
      <c r="A30" s="9">
        <v>42381</v>
      </c>
      <c r="B30" s="91">
        <v>40.5</v>
      </c>
      <c r="C30" s="7" t="s">
        <v>41</v>
      </c>
      <c r="D30" s="25">
        <v>42408</v>
      </c>
      <c r="E30" s="23">
        <v>110</v>
      </c>
      <c r="F30" s="5" t="s">
        <v>115</v>
      </c>
      <c r="G30" s="68">
        <v>42436</v>
      </c>
      <c r="H30" s="69">
        <v>30</v>
      </c>
      <c r="I30" s="72" t="s">
        <v>203</v>
      </c>
      <c r="J30" s="34">
        <v>42471</v>
      </c>
      <c r="K30" s="93">
        <v>73.5</v>
      </c>
      <c r="L30" s="35" t="s">
        <v>297</v>
      </c>
      <c r="M30" s="92">
        <v>42499</v>
      </c>
      <c r="N30" s="95">
        <v>700</v>
      </c>
      <c r="O30" s="6" t="s">
        <v>369</v>
      </c>
      <c r="P30" s="98">
        <v>42528</v>
      </c>
      <c r="Q30" s="67">
        <v>44</v>
      </c>
      <c r="R30" s="27" t="s">
        <v>449</v>
      </c>
      <c r="S30" s="74">
        <v>42559</v>
      </c>
      <c r="T30" s="75">
        <v>49.5</v>
      </c>
      <c r="U30" s="51" t="s">
        <v>535</v>
      </c>
      <c r="V30" s="79">
        <v>42591</v>
      </c>
      <c r="W30" s="80">
        <v>20</v>
      </c>
      <c r="X30" s="39" t="s">
        <v>632</v>
      </c>
      <c r="Y30" s="83">
        <v>42618</v>
      </c>
      <c r="Z30" s="84">
        <v>237</v>
      </c>
      <c r="AA30" s="66" t="s">
        <v>747</v>
      </c>
      <c r="AB30" s="85">
        <v>42653</v>
      </c>
      <c r="AC30" s="86">
        <v>310</v>
      </c>
      <c r="AD30" s="55" t="s">
        <v>863</v>
      </c>
      <c r="AE30" s="87">
        <v>42683</v>
      </c>
      <c r="AF30" s="88">
        <v>1312.9</v>
      </c>
      <c r="AG30" s="58" t="s">
        <v>982</v>
      </c>
      <c r="AH30" s="121">
        <v>42709</v>
      </c>
      <c r="AI30" s="122">
        <v>200</v>
      </c>
      <c r="AJ30" s="62" t="s">
        <v>1097</v>
      </c>
    </row>
    <row r="31" spans="1:36" x14ac:dyDescent="0.25">
      <c r="A31" s="9">
        <v>42383</v>
      </c>
      <c r="B31" s="91">
        <v>1000</v>
      </c>
      <c r="C31" s="7" t="s">
        <v>17</v>
      </c>
      <c r="D31" s="25">
        <v>42408</v>
      </c>
      <c r="E31" s="23">
        <v>250</v>
      </c>
      <c r="F31" s="5" t="s">
        <v>116</v>
      </c>
      <c r="G31" s="68">
        <v>42436</v>
      </c>
      <c r="H31" s="69">
        <v>72</v>
      </c>
      <c r="I31" s="70" t="s">
        <v>204</v>
      </c>
      <c r="J31" s="34">
        <v>42471</v>
      </c>
      <c r="K31" s="93">
        <v>511</v>
      </c>
      <c r="L31" s="35" t="s">
        <v>298</v>
      </c>
      <c r="M31" s="92">
        <v>42499</v>
      </c>
      <c r="N31" s="95">
        <v>500</v>
      </c>
      <c r="O31" s="6" t="s">
        <v>370</v>
      </c>
      <c r="P31" s="98">
        <v>42528</v>
      </c>
      <c r="Q31" s="67">
        <v>67.2</v>
      </c>
      <c r="R31" s="27" t="s">
        <v>449</v>
      </c>
      <c r="S31" s="74">
        <v>42559</v>
      </c>
      <c r="T31" s="75">
        <v>410</v>
      </c>
      <c r="U31" s="51" t="s">
        <v>536</v>
      </c>
      <c r="V31" s="79">
        <v>42591</v>
      </c>
      <c r="W31" s="80">
        <v>600</v>
      </c>
      <c r="X31" s="39" t="s">
        <v>633</v>
      </c>
      <c r="Y31" s="83">
        <v>42619</v>
      </c>
      <c r="Z31" s="84">
        <v>24</v>
      </c>
      <c r="AA31" s="66" t="s">
        <v>748</v>
      </c>
      <c r="AB31" s="85">
        <v>42653</v>
      </c>
      <c r="AC31" s="86">
        <v>799</v>
      </c>
      <c r="AD31" s="55" t="s">
        <v>864</v>
      </c>
      <c r="AE31" s="87">
        <v>42684</v>
      </c>
      <c r="AF31" s="88">
        <v>500</v>
      </c>
      <c r="AG31" s="58" t="s">
        <v>988</v>
      </c>
      <c r="AH31" s="121">
        <v>42711</v>
      </c>
      <c r="AI31" s="122">
        <v>2448</v>
      </c>
      <c r="AJ31" s="123" t="s">
        <v>1099</v>
      </c>
    </row>
    <row r="32" spans="1:36" x14ac:dyDescent="0.25">
      <c r="A32" s="9">
        <v>42384</v>
      </c>
      <c r="B32" s="91">
        <v>90</v>
      </c>
      <c r="C32" s="7" t="s">
        <v>42</v>
      </c>
      <c r="D32" s="25">
        <v>42409</v>
      </c>
      <c r="E32" s="23">
        <v>320</v>
      </c>
      <c r="F32" s="5" t="s">
        <v>117</v>
      </c>
      <c r="G32" s="68">
        <v>42438</v>
      </c>
      <c r="H32" s="69">
        <v>1760</v>
      </c>
      <c r="I32" s="108" t="s">
        <v>205</v>
      </c>
      <c r="J32" s="34">
        <v>42471</v>
      </c>
      <c r="K32" s="93">
        <v>500</v>
      </c>
      <c r="L32" s="35" t="s">
        <v>299</v>
      </c>
      <c r="M32" s="92">
        <v>42499</v>
      </c>
      <c r="N32" s="95">
        <v>300</v>
      </c>
      <c r="O32" s="6" t="s">
        <v>371</v>
      </c>
      <c r="P32" s="98">
        <v>42529</v>
      </c>
      <c r="Q32" s="67">
        <v>2900</v>
      </c>
      <c r="R32" s="27" t="s">
        <v>450</v>
      </c>
      <c r="S32" s="74">
        <v>42559</v>
      </c>
      <c r="T32" s="75">
        <v>200</v>
      </c>
      <c r="U32" s="51" t="s">
        <v>537</v>
      </c>
      <c r="V32" s="79">
        <v>42591</v>
      </c>
      <c r="W32" s="80">
        <v>201.52</v>
      </c>
      <c r="X32" s="39" t="s">
        <v>634</v>
      </c>
      <c r="Y32" s="83">
        <v>42619</v>
      </c>
      <c r="Z32" s="84">
        <v>250</v>
      </c>
      <c r="AA32" s="66" t="s">
        <v>749</v>
      </c>
      <c r="AB32" s="85">
        <v>42653</v>
      </c>
      <c r="AC32" s="86">
        <v>5</v>
      </c>
      <c r="AD32" s="55" t="s">
        <v>865</v>
      </c>
      <c r="AE32" s="87">
        <v>42684</v>
      </c>
      <c r="AF32" s="88">
        <v>200</v>
      </c>
      <c r="AG32" s="58" t="s">
        <v>983</v>
      </c>
      <c r="AH32" s="121">
        <v>42711</v>
      </c>
      <c r="AI32" s="122">
        <v>1760</v>
      </c>
      <c r="AJ32" s="123" t="s">
        <v>1100</v>
      </c>
    </row>
    <row r="33" spans="1:36" x14ac:dyDescent="0.25">
      <c r="A33" s="9">
        <v>42384</v>
      </c>
      <c r="B33" s="91">
        <v>74.5</v>
      </c>
      <c r="C33" s="7" t="s">
        <v>20</v>
      </c>
      <c r="D33" s="25">
        <v>42409</v>
      </c>
      <c r="E33" s="23">
        <v>1760</v>
      </c>
      <c r="F33" s="5" t="s">
        <v>118</v>
      </c>
      <c r="G33" s="68">
        <v>42438</v>
      </c>
      <c r="H33" s="69">
        <v>1224</v>
      </c>
      <c r="I33" s="108" t="s">
        <v>206</v>
      </c>
      <c r="J33" s="34">
        <v>42473</v>
      </c>
      <c r="K33" s="93">
        <v>550</v>
      </c>
      <c r="L33" s="35" t="s">
        <v>300</v>
      </c>
      <c r="M33" s="92">
        <v>42499</v>
      </c>
      <c r="N33" s="95">
        <v>810</v>
      </c>
      <c r="O33" s="6" t="s">
        <v>372</v>
      </c>
      <c r="P33" s="98">
        <v>42529</v>
      </c>
      <c r="Q33" s="67">
        <v>175</v>
      </c>
      <c r="R33" s="27" t="s">
        <v>250</v>
      </c>
      <c r="S33" s="74">
        <v>42561</v>
      </c>
      <c r="T33" s="75">
        <v>500</v>
      </c>
      <c r="U33" s="51" t="s">
        <v>538</v>
      </c>
      <c r="V33" s="79">
        <v>42591</v>
      </c>
      <c r="W33" s="80">
        <v>200</v>
      </c>
      <c r="X33" s="39" t="s">
        <v>655</v>
      </c>
      <c r="Y33" s="83">
        <v>42620</v>
      </c>
      <c r="Z33" s="84">
        <v>800</v>
      </c>
      <c r="AA33" s="66" t="s">
        <v>750</v>
      </c>
      <c r="AB33" s="85">
        <v>42653</v>
      </c>
      <c r="AC33" s="86">
        <v>350</v>
      </c>
      <c r="AD33" s="55" t="s">
        <v>866</v>
      </c>
      <c r="AE33" s="87">
        <v>42684</v>
      </c>
      <c r="AF33" s="88">
        <v>800</v>
      </c>
      <c r="AG33" s="58" t="s">
        <v>984</v>
      </c>
      <c r="AH33" s="121">
        <v>42711</v>
      </c>
      <c r="AI33" s="122">
        <v>78</v>
      </c>
      <c r="AJ33" s="62" t="s">
        <v>1101</v>
      </c>
    </row>
    <row r="34" spans="1:36" x14ac:dyDescent="0.25">
      <c r="A34" s="9">
        <v>42384</v>
      </c>
      <c r="B34" s="91">
        <v>197.4</v>
      </c>
      <c r="C34" s="7" t="s">
        <v>43</v>
      </c>
      <c r="D34" s="25">
        <v>42409</v>
      </c>
      <c r="E34" s="23">
        <v>1224</v>
      </c>
      <c r="F34" s="5" t="s">
        <v>119</v>
      </c>
      <c r="G34" s="68">
        <v>42438</v>
      </c>
      <c r="H34" s="69">
        <v>100</v>
      </c>
      <c r="I34" s="71" t="s">
        <v>207</v>
      </c>
      <c r="J34" s="34">
        <v>42473</v>
      </c>
      <c r="K34" s="93">
        <v>700</v>
      </c>
      <c r="L34" s="35" t="s">
        <v>301</v>
      </c>
      <c r="M34" s="92">
        <v>42502</v>
      </c>
      <c r="N34" s="95">
        <v>1300</v>
      </c>
      <c r="O34" s="6" t="s">
        <v>377</v>
      </c>
      <c r="P34" s="98">
        <v>42529</v>
      </c>
      <c r="Q34" s="67">
        <v>100</v>
      </c>
      <c r="R34" s="27" t="s">
        <v>451</v>
      </c>
      <c r="S34" s="74">
        <v>42561</v>
      </c>
      <c r="T34" s="75">
        <v>76.400000000000006</v>
      </c>
      <c r="U34" s="51" t="s">
        <v>539</v>
      </c>
      <c r="V34" s="79">
        <v>42591</v>
      </c>
      <c r="W34" s="80">
        <v>5000</v>
      </c>
      <c r="X34" s="39" t="s">
        <v>635</v>
      </c>
      <c r="Y34" s="83">
        <v>42620</v>
      </c>
      <c r="Z34" s="84">
        <v>1000</v>
      </c>
      <c r="AA34" s="66" t="s">
        <v>752</v>
      </c>
      <c r="AB34" s="85">
        <v>42653</v>
      </c>
      <c r="AC34" s="86">
        <v>349.5</v>
      </c>
      <c r="AD34" s="55" t="s">
        <v>867</v>
      </c>
      <c r="AE34" s="87">
        <v>42684</v>
      </c>
      <c r="AF34" s="88">
        <v>250</v>
      </c>
      <c r="AG34" s="58" t="s">
        <v>985</v>
      </c>
      <c r="AH34" s="121">
        <v>42711</v>
      </c>
      <c r="AI34" s="122">
        <v>522.1</v>
      </c>
      <c r="AJ34" s="62" t="s">
        <v>1102</v>
      </c>
    </row>
    <row r="35" spans="1:36" x14ac:dyDescent="0.25">
      <c r="A35" s="9">
        <v>42384</v>
      </c>
      <c r="B35" s="91">
        <v>110</v>
      </c>
      <c r="C35" s="7" t="s">
        <v>21</v>
      </c>
      <c r="D35" s="25">
        <v>42409</v>
      </c>
      <c r="E35" s="23">
        <v>45</v>
      </c>
      <c r="F35" s="78" t="s">
        <v>120</v>
      </c>
      <c r="G35" s="68">
        <v>42438</v>
      </c>
      <c r="H35" s="69">
        <v>110</v>
      </c>
      <c r="I35" s="71" t="s">
        <v>208</v>
      </c>
      <c r="J35" s="34">
        <v>42474</v>
      </c>
      <c r="K35" s="93">
        <v>263.2</v>
      </c>
      <c r="L35" s="35" t="s">
        <v>302</v>
      </c>
      <c r="M35" s="92">
        <v>42502</v>
      </c>
      <c r="N35" s="95">
        <v>316</v>
      </c>
      <c r="O35" s="6" t="s">
        <v>378</v>
      </c>
      <c r="P35" s="98">
        <v>42529</v>
      </c>
      <c r="Q35" s="67">
        <v>420</v>
      </c>
      <c r="R35" s="27" t="s">
        <v>452</v>
      </c>
      <c r="S35" s="74">
        <v>42561</v>
      </c>
      <c r="T35" s="75">
        <v>50</v>
      </c>
      <c r="U35" s="51" t="s">
        <v>540</v>
      </c>
      <c r="V35" s="79">
        <v>42591</v>
      </c>
      <c r="W35" s="80">
        <v>550</v>
      </c>
      <c r="X35" s="39" t="s">
        <v>636</v>
      </c>
      <c r="Y35" s="83">
        <v>42620</v>
      </c>
      <c r="Z35" s="102">
        <v>500</v>
      </c>
      <c r="AA35" s="103" t="s">
        <v>751</v>
      </c>
      <c r="AB35" s="85">
        <v>42653</v>
      </c>
      <c r="AC35" s="86">
        <v>400</v>
      </c>
      <c r="AD35" s="55" t="s">
        <v>868</v>
      </c>
      <c r="AE35" s="87">
        <v>42684</v>
      </c>
      <c r="AF35" s="88">
        <v>1470</v>
      </c>
      <c r="AG35" s="58" t="s">
        <v>986</v>
      </c>
      <c r="AH35" s="121">
        <v>42711</v>
      </c>
      <c r="AI35" s="122">
        <v>285</v>
      </c>
      <c r="AJ35" s="62" t="s">
        <v>1103</v>
      </c>
    </row>
    <row r="36" spans="1:36" x14ac:dyDescent="0.25">
      <c r="A36" s="9">
        <v>42384</v>
      </c>
      <c r="B36" s="91">
        <v>450</v>
      </c>
      <c r="C36" s="7" t="s">
        <v>44</v>
      </c>
      <c r="D36" s="25">
        <v>42409</v>
      </c>
      <c r="E36" s="23">
        <v>100</v>
      </c>
      <c r="F36" s="5" t="s">
        <v>121</v>
      </c>
      <c r="G36" s="68">
        <v>42438</v>
      </c>
      <c r="H36" s="69">
        <v>180</v>
      </c>
      <c r="I36" s="70" t="s">
        <v>209</v>
      </c>
      <c r="J36" s="34">
        <v>42474</v>
      </c>
      <c r="K36" s="93">
        <v>120</v>
      </c>
      <c r="L36" s="35" t="s">
        <v>303</v>
      </c>
      <c r="M36" s="92">
        <v>42503</v>
      </c>
      <c r="N36" s="95">
        <v>1000</v>
      </c>
      <c r="O36" s="6" t="s">
        <v>373</v>
      </c>
      <c r="P36" s="98">
        <v>42529</v>
      </c>
      <c r="Q36" s="67">
        <v>270</v>
      </c>
      <c r="R36" s="27" t="s">
        <v>453</v>
      </c>
      <c r="S36" s="74">
        <v>42562</v>
      </c>
      <c r="T36" s="75">
        <v>110</v>
      </c>
      <c r="U36" s="51" t="s">
        <v>37</v>
      </c>
      <c r="V36" s="79">
        <v>42591</v>
      </c>
      <c r="W36" s="80">
        <v>49.5</v>
      </c>
      <c r="X36" s="39" t="s">
        <v>637</v>
      </c>
      <c r="Y36" s="83">
        <v>42621</v>
      </c>
      <c r="Z36" s="102">
        <v>500</v>
      </c>
      <c r="AA36" s="103" t="s">
        <v>753</v>
      </c>
      <c r="AB36" s="85">
        <v>42654</v>
      </c>
      <c r="AC36" s="86">
        <v>100</v>
      </c>
      <c r="AD36" s="55" t="s">
        <v>869</v>
      </c>
      <c r="AE36" s="87">
        <v>42684</v>
      </c>
      <c r="AF36" s="88">
        <v>600</v>
      </c>
      <c r="AG36" s="58" t="s">
        <v>987</v>
      </c>
      <c r="AH36" s="121">
        <v>42711</v>
      </c>
      <c r="AI36" s="122">
        <v>400</v>
      </c>
      <c r="AJ36" s="62" t="s">
        <v>1104</v>
      </c>
    </row>
    <row r="37" spans="1:36" x14ac:dyDescent="0.25">
      <c r="A37" s="9">
        <v>42384</v>
      </c>
      <c r="B37" s="91">
        <v>3200</v>
      </c>
      <c r="C37" s="7" t="s">
        <v>45</v>
      </c>
      <c r="D37" s="25">
        <v>42409</v>
      </c>
      <c r="E37" s="23">
        <v>997</v>
      </c>
      <c r="F37" s="5" t="s">
        <v>122</v>
      </c>
      <c r="G37" s="68">
        <v>42439</v>
      </c>
      <c r="H37" s="69">
        <v>450</v>
      </c>
      <c r="I37" s="70" t="s">
        <v>210</v>
      </c>
      <c r="J37" s="34">
        <v>42474</v>
      </c>
      <c r="K37" s="93">
        <v>1760</v>
      </c>
      <c r="L37" s="35" t="s">
        <v>304</v>
      </c>
      <c r="M37" s="92">
        <v>42503</v>
      </c>
      <c r="N37" s="95">
        <v>174</v>
      </c>
      <c r="O37" s="6" t="s">
        <v>379</v>
      </c>
      <c r="P37" s="98">
        <v>42529</v>
      </c>
      <c r="Q37" s="67">
        <v>86</v>
      </c>
      <c r="R37" s="27" t="s">
        <v>454</v>
      </c>
      <c r="S37" s="74">
        <v>42562</v>
      </c>
      <c r="T37" s="75">
        <v>70</v>
      </c>
      <c r="U37" s="51" t="s">
        <v>115</v>
      </c>
      <c r="V37" s="79">
        <v>42591</v>
      </c>
      <c r="W37" s="80">
        <v>278</v>
      </c>
      <c r="X37" s="39" t="s">
        <v>638</v>
      </c>
      <c r="Y37" s="83">
        <v>42622</v>
      </c>
      <c r="Z37" s="84">
        <v>240</v>
      </c>
      <c r="AA37" s="66" t="s">
        <v>754</v>
      </c>
      <c r="AB37" s="85">
        <v>42654</v>
      </c>
      <c r="AC37" s="86">
        <v>28</v>
      </c>
      <c r="AD37" s="55" t="s">
        <v>870</v>
      </c>
      <c r="AE37" s="87">
        <v>42684</v>
      </c>
      <c r="AF37" s="88">
        <v>30</v>
      </c>
      <c r="AG37" s="58" t="s">
        <v>989</v>
      </c>
      <c r="AH37" s="121">
        <v>42712</v>
      </c>
      <c r="AI37" s="122">
        <v>1400</v>
      </c>
      <c r="AJ37" s="62" t="s">
        <v>1105</v>
      </c>
    </row>
    <row r="38" spans="1:36" x14ac:dyDescent="0.25">
      <c r="A38" s="9">
        <v>42384</v>
      </c>
      <c r="B38" s="91">
        <v>29000</v>
      </c>
      <c r="C38" s="7" t="s">
        <v>46</v>
      </c>
      <c r="D38" s="25">
        <v>42409</v>
      </c>
      <c r="E38" s="23">
        <v>1000</v>
      </c>
      <c r="F38" s="5" t="s">
        <v>123</v>
      </c>
      <c r="G38" s="68">
        <v>42439</v>
      </c>
      <c r="H38" s="69">
        <v>300</v>
      </c>
      <c r="I38" s="70" t="s">
        <v>211</v>
      </c>
      <c r="J38" s="34">
        <v>42474</v>
      </c>
      <c r="K38" s="93">
        <v>1224</v>
      </c>
      <c r="L38" s="35" t="s">
        <v>305</v>
      </c>
      <c r="M38" s="92">
        <v>42503</v>
      </c>
      <c r="N38" s="95">
        <v>142</v>
      </c>
      <c r="O38" s="6" t="s">
        <v>37</v>
      </c>
      <c r="P38" s="98">
        <v>42529</v>
      </c>
      <c r="Q38" s="67">
        <v>270</v>
      </c>
      <c r="R38" s="27" t="s">
        <v>455</v>
      </c>
      <c r="S38" s="74">
        <v>42562</v>
      </c>
      <c r="T38" s="75">
        <v>400</v>
      </c>
      <c r="U38" s="51" t="s">
        <v>528</v>
      </c>
      <c r="V38" s="79">
        <v>42592</v>
      </c>
      <c r="W38" s="80">
        <v>273</v>
      </c>
      <c r="X38" s="39" t="s">
        <v>638</v>
      </c>
      <c r="Y38" s="83">
        <v>42622</v>
      </c>
      <c r="Z38" s="84">
        <v>1000</v>
      </c>
      <c r="AA38" s="66" t="s">
        <v>755</v>
      </c>
      <c r="AB38" s="85">
        <v>42654</v>
      </c>
      <c r="AC38" s="86">
        <v>40</v>
      </c>
      <c r="AD38" s="55" t="s">
        <v>871</v>
      </c>
      <c r="AE38" s="87">
        <v>42685</v>
      </c>
      <c r="AF38" s="88">
        <v>47</v>
      </c>
      <c r="AG38" s="58" t="s">
        <v>998</v>
      </c>
      <c r="AH38" s="121">
        <v>42712</v>
      </c>
      <c r="AI38" s="122">
        <v>1400</v>
      </c>
      <c r="AJ38" s="62" t="s">
        <v>1105</v>
      </c>
    </row>
    <row r="39" spans="1:36" x14ac:dyDescent="0.25">
      <c r="A39" s="9">
        <v>42384</v>
      </c>
      <c r="B39" s="91">
        <v>4000</v>
      </c>
      <c r="C39" s="7" t="s">
        <v>47</v>
      </c>
      <c r="D39" s="25">
        <v>42409</v>
      </c>
      <c r="E39" s="23">
        <v>225</v>
      </c>
      <c r="F39" s="5" t="s">
        <v>124</v>
      </c>
      <c r="G39" s="68">
        <v>42439</v>
      </c>
      <c r="H39" s="69">
        <v>2000</v>
      </c>
      <c r="I39" s="70" t="s">
        <v>212</v>
      </c>
      <c r="J39" s="34">
        <v>42474</v>
      </c>
      <c r="K39" s="93">
        <v>76</v>
      </c>
      <c r="L39" s="35" t="s">
        <v>306</v>
      </c>
      <c r="M39" s="92">
        <v>42503</v>
      </c>
      <c r="N39" s="95">
        <v>450</v>
      </c>
      <c r="O39" s="6" t="s">
        <v>380</v>
      </c>
      <c r="P39" s="98">
        <v>42529</v>
      </c>
      <c r="Q39" s="67">
        <v>600</v>
      </c>
      <c r="R39" s="27" t="s">
        <v>456</v>
      </c>
      <c r="S39" s="74">
        <v>42562</v>
      </c>
      <c r="T39" s="75">
        <v>223.9</v>
      </c>
      <c r="U39" s="51" t="s">
        <v>546</v>
      </c>
      <c r="V39" s="79">
        <v>42593</v>
      </c>
      <c r="W39" s="80">
        <v>200</v>
      </c>
      <c r="X39" s="39" t="s">
        <v>639</v>
      </c>
      <c r="Y39" s="83">
        <v>42622</v>
      </c>
      <c r="Z39" s="84">
        <v>476</v>
      </c>
      <c r="AA39" s="66" t="s">
        <v>756</v>
      </c>
      <c r="AB39" s="85">
        <v>42654</v>
      </c>
      <c r="AC39" s="86">
        <v>200</v>
      </c>
      <c r="AD39" s="55" t="s">
        <v>872</v>
      </c>
      <c r="AE39" s="87">
        <v>42685</v>
      </c>
      <c r="AF39" s="88">
        <v>1000</v>
      </c>
      <c r="AG39" s="58" t="s">
        <v>990</v>
      </c>
      <c r="AH39" s="121">
        <v>42712</v>
      </c>
      <c r="AI39" s="122">
        <v>50</v>
      </c>
      <c r="AJ39" s="62" t="s">
        <v>1106</v>
      </c>
    </row>
    <row r="40" spans="1:36" x14ac:dyDescent="0.25">
      <c r="A40" s="9">
        <v>42386</v>
      </c>
      <c r="B40" s="91">
        <v>350</v>
      </c>
      <c r="C40" s="7" t="s">
        <v>48</v>
      </c>
      <c r="D40" s="25">
        <v>43505</v>
      </c>
      <c r="E40" s="23">
        <v>250</v>
      </c>
      <c r="F40" s="5" t="s">
        <v>144</v>
      </c>
      <c r="G40" s="68">
        <v>42439</v>
      </c>
      <c r="H40" s="69">
        <v>99.22</v>
      </c>
      <c r="I40" s="70" t="s">
        <v>213</v>
      </c>
      <c r="J40" s="34">
        <v>42475</v>
      </c>
      <c r="K40" s="93">
        <v>1000</v>
      </c>
      <c r="L40" s="35" t="s">
        <v>307</v>
      </c>
      <c r="M40" s="92">
        <v>42503</v>
      </c>
      <c r="N40" s="95">
        <v>350</v>
      </c>
      <c r="O40" s="6" t="s">
        <v>381</v>
      </c>
      <c r="P40" s="98">
        <v>42529</v>
      </c>
      <c r="Q40" s="67">
        <v>66.8</v>
      </c>
      <c r="R40" s="27" t="s">
        <v>457</v>
      </c>
      <c r="S40" s="74">
        <v>42563</v>
      </c>
      <c r="T40" s="75">
        <v>399</v>
      </c>
      <c r="U40" s="51" t="s">
        <v>547</v>
      </c>
      <c r="V40" s="79">
        <v>42562</v>
      </c>
      <c r="W40" s="80">
        <v>1098</v>
      </c>
      <c r="X40" s="39" t="s">
        <v>642</v>
      </c>
      <c r="Y40" s="83">
        <v>42622</v>
      </c>
      <c r="Z40" s="84">
        <v>349.7</v>
      </c>
      <c r="AA40" s="66" t="s">
        <v>757</v>
      </c>
      <c r="AB40" s="85">
        <v>42655</v>
      </c>
      <c r="AC40" s="86">
        <v>150</v>
      </c>
      <c r="AD40" s="55" t="s">
        <v>873</v>
      </c>
      <c r="AE40" s="87">
        <v>42686</v>
      </c>
      <c r="AF40" s="88">
        <v>500</v>
      </c>
      <c r="AG40" s="58" t="s">
        <v>991</v>
      </c>
      <c r="AH40" s="121">
        <v>42712</v>
      </c>
      <c r="AI40" s="122">
        <v>1470</v>
      </c>
      <c r="AJ40" s="62" t="s">
        <v>1107</v>
      </c>
    </row>
    <row r="41" spans="1:36" x14ac:dyDescent="0.25">
      <c r="A41" s="9">
        <v>42386</v>
      </c>
      <c r="B41" s="91">
        <v>288.2</v>
      </c>
      <c r="C41" s="7" t="s">
        <v>49</v>
      </c>
      <c r="D41" s="25">
        <v>42409</v>
      </c>
      <c r="E41" s="23">
        <v>263.2</v>
      </c>
      <c r="F41" s="5" t="s">
        <v>125</v>
      </c>
      <c r="G41" s="68">
        <v>42439</v>
      </c>
      <c r="H41" s="69">
        <v>5</v>
      </c>
      <c r="I41" s="72" t="s">
        <v>214</v>
      </c>
      <c r="J41" s="34">
        <v>42475</v>
      </c>
      <c r="K41" s="93">
        <v>450</v>
      </c>
      <c r="L41" s="37" t="s">
        <v>308</v>
      </c>
      <c r="M41" s="92">
        <v>42505</v>
      </c>
      <c r="N41" s="95">
        <v>100</v>
      </c>
      <c r="O41" s="6" t="s">
        <v>365</v>
      </c>
      <c r="P41" s="98">
        <v>42531</v>
      </c>
      <c r="Q41" s="67">
        <v>172.5</v>
      </c>
      <c r="R41" s="27" t="s">
        <v>458</v>
      </c>
      <c r="S41" s="74">
        <v>42563</v>
      </c>
      <c r="T41" s="75">
        <v>276.5</v>
      </c>
      <c r="U41" s="51" t="s">
        <v>548</v>
      </c>
      <c r="V41" s="79">
        <v>42593</v>
      </c>
      <c r="W41" s="80">
        <v>393.43</v>
      </c>
      <c r="X41" s="39" t="s">
        <v>640</v>
      </c>
      <c r="Y41" s="83">
        <v>42622</v>
      </c>
      <c r="Z41" s="84">
        <v>184.7</v>
      </c>
      <c r="AA41" s="66" t="s">
        <v>758</v>
      </c>
      <c r="AB41" s="85">
        <v>42655</v>
      </c>
      <c r="AC41" s="86">
        <v>200</v>
      </c>
      <c r="AD41" s="55" t="s">
        <v>874</v>
      </c>
      <c r="AE41" s="87">
        <v>42686</v>
      </c>
      <c r="AF41" s="88">
        <v>200</v>
      </c>
      <c r="AG41" s="58" t="s">
        <v>999</v>
      </c>
      <c r="AH41" s="121">
        <v>42712</v>
      </c>
      <c r="AI41" s="122">
        <v>60</v>
      </c>
      <c r="AJ41" s="62" t="s">
        <v>1108</v>
      </c>
    </row>
    <row r="42" spans="1:36" x14ac:dyDescent="0.25">
      <c r="A42" s="9">
        <v>42387</v>
      </c>
      <c r="B42" s="91">
        <v>180</v>
      </c>
      <c r="C42" s="7" t="s">
        <v>50</v>
      </c>
      <c r="D42" s="25">
        <v>42410</v>
      </c>
      <c r="E42" s="23">
        <v>250</v>
      </c>
      <c r="F42" s="5" t="s">
        <v>126</v>
      </c>
      <c r="G42" s="68">
        <v>42440</v>
      </c>
      <c r="H42" s="69">
        <v>1000</v>
      </c>
      <c r="I42" s="70" t="s">
        <v>215</v>
      </c>
      <c r="J42" s="34">
        <v>42475</v>
      </c>
      <c r="K42" s="93">
        <v>185</v>
      </c>
      <c r="L42" s="37" t="s">
        <v>37</v>
      </c>
      <c r="M42" s="92">
        <v>42505</v>
      </c>
      <c r="N42" s="95">
        <v>450</v>
      </c>
      <c r="O42" s="6" t="s">
        <v>308</v>
      </c>
      <c r="P42" s="98">
        <v>42531</v>
      </c>
      <c r="Q42" s="67">
        <v>175</v>
      </c>
      <c r="R42" s="27" t="s">
        <v>250</v>
      </c>
      <c r="S42" s="74">
        <v>42563</v>
      </c>
      <c r="T42" s="75">
        <v>25</v>
      </c>
      <c r="U42" s="51" t="s">
        <v>549</v>
      </c>
      <c r="V42" s="79">
        <v>42593</v>
      </c>
      <c r="W42" s="80">
        <v>1990</v>
      </c>
      <c r="X42" s="39" t="s">
        <v>641</v>
      </c>
      <c r="Y42" s="83">
        <v>42623</v>
      </c>
      <c r="Z42" s="84">
        <v>800</v>
      </c>
      <c r="AA42" s="66" t="s">
        <v>759</v>
      </c>
      <c r="AB42" s="85">
        <v>42655</v>
      </c>
      <c r="AC42" s="86">
        <v>675</v>
      </c>
      <c r="AD42" s="55" t="s">
        <v>875</v>
      </c>
      <c r="AE42" s="87">
        <v>42686</v>
      </c>
      <c r="AF42" s="88">
        <v>450</v>
      </c>
      <c r="AG42" s="58" t="s">
        <v>1000</v>
      </c>
      <c r="AH42" s="121">
        <v>42712</v>
      </c>
      <c r="AI42" s="122">
        <v>50</v>
      </c>
      <c r="AJ42" s="62" t="s">
        <v>1109</v>
      </c>
    </row>
    <row r="43" spans="1:36" x14ac:dyDescent="0.25">
      <c r="A43" s="9">
        <v>42387</v>
      </c>
      <c r="B43" s="91">
        <v>26</v>
      </c>
      <c r="C43" s="7" t="s">
        <v>20</v>
      </c>
      <c r="D43" s="25">
        <v>42410</v>
      </c>
      <c r="E43" s="23">
        <v>5000</v>
      </c>
      <c r="F43" s="5" t="s">
        <v>127</v>
      </c>
      <c r="G43" s="68">
        <v>42440</v>
      </c>
      <c r="H43" s="69">
        <v>80</v>
      </c>
      <c r="I43" s="70" t="s">
        <v>216</v>
      </c>
      <c r="J43" s="34">
        <v>42475</v>
      </c>
      <c r="K43" s="93">
        <v>2700</v>
      </c>
      <c r="L43" s="37" t="s">
        <v>309</v>
      </c>
      <c r="M43" s="92">
        <v>42505</v>
      </c>
      <c r="N43" s="95">
        <v>150</v>
      </c>
      <c r="O43" s="6" t="s">
        <v>360</v>
      </c>
      <c r="P43" s="98">
        <v>42531</v>
      </c>
      <c r="Q43" s="67">
        <v>1000</v>
      </c>
      <c r="R43" s="27" t="s">
        <v>459</v>
      </c>
      <c r="S43" s="74">
        <v>42563</v>
      </c>
      <c r="T43" s="75">
        <v>950</v>
      </c>
      <c r="U43" s="51" t="s">
        <v>550</v>
      </c>
      <c r="V43" s="79">
        <v>42563</v>
      </c>
      <c r="W43" s="80">
        <v>190</v>
      </c>
      <c r="X43" s="39" t="s">
        <v>477</v>
      </c>
      <c r="Y43" s="83">
        <v>42623</v>
      </c>
      <c r="Z43" s="84">
        <v>350</v>
      </c>
      <c r="AA43" s="66" t="s">
        <v>760</v>
      </c>
      <c r="AB43" s="85">
        <v>42656</v>
      </c>
      <c r="AC43" s="86">
        <v>36</v>
      </c>
      <c r="AD43" s="55" t="s">
        <v>876</v>
      </c>
      <c r="AE43" s="87">
        <v>42686</v>
      </c>
      <c r="AF43" s="88">
        <v>430</v>
      </c>
      <c r="AG43" s="58" t="s">
        <v>1000</v>
      </c>
      <c r="AH43" s="121">
        <v>42712</v>
      </c>
      <c r="AI43" s="122">
        <v>80</v>
      </c>
      <c r="AJ43" s="62" t="s">
        <v>1109</v>
      </c>
    </row>
    <row r="44" spans="1:36" x14ac:dyDescent="0.25">
      <c r="A44" s="9">
        <v>42387</v>
      </c>
      <c r="B44" s="91">
        <v>45.5</v>
      </c>
      <c r="C44" s="7" t="s">
        <v>20</v>
      </c>
      <c r="D44" s="25">
        <v>42410</v>
      </c>
      <c r="E44" s="23">
        <v>1000</v>
      </c>
      <c r="F44" s="5" t="s">
        <v>128</v>
      </c>
      <c r="G44" s="68">
        <v>42440</v>
      </c>
      <c r="H44" s="69">
        <v>31</v>
      </c>
      <c r="I44" s="70" t="s">
        <v>217</v>
      </c>
      <c r="J44" s="34">
        <v>42475</v>
      </c>
      <c r="K44" s="93">
        <v>29000</v>
      </c>
      <c r="L44" s="35" t="s">
        <v>310</v>
      </c>
      <c r="M44" s="92">
        <v>42505</v>
      </c>
      <c r="N44" s="95">
        <v>69.5</v>
      </c>
      <c r="O44" s="6" t="s">
        <v>360</v>
      </c>
      <c r="P44" s="98">
        <v>42531</v>
      </c>
      <c r="Q44" s="67">
        <v>400</v>
      </c>
      <c r="R44" s="27" t="s">
        <v>460</v>
      </c>
      <c r="S44" s="74">
        <v>42563</v>
      </c>
      <c r="T44" s="75">
        <v>1600</v>
      </c>
      <c r="U44" s="51" t="s">
        <v>551</v>
      </c>
      <c r="V44" s="79">
        <v>42563</v>
      </c>
      <c r="W44" s="80">
        <v>1000</v>
      </c>
      <c r="X44" s="39" t="s">
        <v>643</v>
      </c>
      <c r="Y44" s="83">
        <v>42623</v>
      </c>
      <c r="Z44" s="84">
        <v>350</v>
      </c>
      <c r="AA44" s="66" t="s">
        <v>761</v>
      </c>
      <c r="AB44" s="85">
        <v>42657</v>
      </c>
      <c r="AC44" s="86">
        <v>170</v>
      </c>
      <c r="AD44" s="55" t="s">
        <v>877</v>
      </c>
      <c r="AE44" s="87">
        <v>42686</v>
      </c>
      <c r="AF44" s="88">
        <v>145</v>
      </c>
      <c r="AG44" s="58" t="s">
        <v>975</v>
      </c>
      <c r="AH44" s="121">
        <v>42713</v>
      </c>
      <c r="AI44" s="122">
        <v>180</v>
      </c>
      <c r="AJ44" s="62" t="s">
        <v>1110</v>
      </c>
    </row>
    <row r="45" spans="1:36" x14ac:dyDescent="0.25">
      <c r="A45" s="9">
        <v>42388</v>
      </c>
      <c r="B45" s="91">
        <v>263.2</v>
      </c>
      <c r="C45" s="7" t="s">
        <v>51</v>
      </c>
      <c r="D45" s="25">
        <v>42410</v>
      </c>
      <c r="E45" s="23">
        <v>300</v>
      </c>
      <c r="F45" s="5" t="s">
        <v>129</v>
      </c>
      <c r="G45" s="68">
        <v>42440</v>
      </c>
      <c r="H45" s="69">
        <v>134</v>
      </c>
      <c r="I45" s="72" t="s">
        <v>218</v>
      </c>
      <c r="J45" s="34">
        <v>42475</v>
      </c>
      <c r="K45" s="93">
        <v>4000</v>
      </c>
      <c r="L45" s="35" t="s">
        <v>311</v>
      </c>
      <c r="M45" s="92">
        <v>42505</v>
      </c>
      <c r="N45" s="95">
        <v>2700</v>
      </c>
      <c r="O45" s="6" t="s">
        <v>374</v>
      </c>
      <c r="P45" s="98">
        <v>42533</v>
      </c>
      <c r="Q45" s="67">
        <v>350</v>
      </c>
      <c r="R45" s="27" t="s">
        <v>461</v>
      </c>
      <c r="S45" s="74">
        <v>42563</v>
      </c>
      <c r="T45" s="75">
        <v>66.650000000000006</v>
      </c>
      <c r="U45" s="51" t="s">
        <v>552</v>
      </c>
      <c r="V45" s="79">
        <v>42594</v>
      </c>
      <c r="W45" s="80">
        <v>450</v>
      </c>
      <c r="X45" s="39" t="s">
        <v>644</v>
      </c>
      <c r="Y45" s="83">
        <v>42623</v>
      </c>
      <c r="Z45" s="84">
        <v>500</v>
      </c>
      <c r="AA45" s="66" t="s">
        <v>762</v>
      </c>
      <c r="AB45" s="85">
        <v>42657</v>
      </c>
      <c r="AC45" s="86">
        <v>92</v>
      </c>
      <c r="AD45" s="55" t="s">
        <v>878</v>
      </c>
      <c r="AE45" s="87">
        <v>42687</v>
      </c>
      <c r="AF45" s="88">
        <v>120</v>
      </c>
      <c r="AG45" s="58" t="s">
        <v>974</v>
      </c>
      <c r="AH45" s="121">
        <v>42713</v>
      </c>
      <c r="AI45" s="122">
        <v>228</v>
      </c>
      <c r="AJ45" s="62" t="s">
        <v>1111</v>
      </c>
    </row>
    <row r="46" spans="1:36" x14ac:dyDescent="0.25">
      <c r="A46" s="9">
        <v>42388</v>
      </c>
      <c r="B46" s="91">
        <v>41.5</v>
      </c>
      <c r="C46" s="7" t="s">
        <v>52</v>
      </c>
      <c r="D46" s="25">
        <v>42411</v>
      </c>
      <c r="E46" s="23">
        <v>35.9</v>
      </c>
      <c r="F46" s="5" t="s">
        <v>130</v>
      </c>
      <c r="G46" s="68">
        <v>42440</v>
      </c>
      <c r="H46" s="69">
        <v>263.2</v>
      </c>
      <c r="I46" s="72" t="s">
        <v>200</v>
      </c>
      <c r="J46" s="34">
        <v>42477</v>
      </c>
      <c r="K46" s="93">
        <v>100</v>
      </c>
      <c r="L46" s="35" t="s">
        <v>279</v>
      </c>
      <c r="M46" s="92">
        <v>42505</v>
      </c>
      <c r="N46" s="95">
        <v>29000</v>
      </c>
      <c r="O46" s="100" t="s">
        <v>375</v>
      </c>
      <c r="P46" s="98">
        <v>42533</v>
      </c>
      <c r="Q46" s="67">
        <v>200</v>
      </c>
      <c r="R46" s="27" t="s">
        <v>462</v>
      </c>
      <c r="S46" s="74">
        <v>42565</v>
      </c>
      <c r="T46" s="75">
        <v>1600</v>
      </c>
      <c r="U46" s="51" t="s">
        <v>553</v>
      </c>
      <c r="V46" s="79">
        <v>42594</v>
      </c>
      <c r="W46" s="80">
        <v>376.92</v>
      </c>
      <c r="X46" s="39" t="s">
        <v>645</v>
      </c>
      <c r="Y46" s="83">
        <v>42623</v>
      </c>
      <c r="Z46" s="84">
        <v>800</v>
      </c>
      <c r="AA46" s="66" t="s">
        <v>763</v>
      </c>
      <c r="AB46" s="85">
        <v>42657</v>
      </c>
      <c r="AC46" s="86">
        <v>120</v>
      </c>
      <c r="AD46" s="55" t="s">
        <v>879</v>
      </c>
      <c r="AE46" s="87">
        <v>42687</v>
      </c>
      <c r="AF46" s="88">
        <v>130</v>
      </c>
      <c r="AG46" s="58" t="s">
        <v>992</v>
      </c>
      <c r="AH46" s="121">
        <v>42713</v>
      </c>
      <c r="AI46" s="122">
        <v>264</v>
      </c>
      <c r="AJ46" s="62" t="s">
        <v>1112</v>
      </c>
    </row>
    <row r="47" spans="1:36" x14ac:dyDescent="0.25">
      <c r="A47" s="9">
        <v>42388</v>
      </c>
      <c r="B47" s="91">
        <v>20</v>
      </c>
      <c r="C47" s="7" t="s">
        <v>53</v>
      </c>
      <c r="D47" s="25">
        <v>42411</v>
      </c>
      <c r="E47" s="23">
        <v>61.5</v>
      </c>
      <c r="F47" s="5" t="s">
        <v>131</v>
      </c>
      <c r="G47" s="68">
        <v>42440</v>
      </c>
      <c r="H47" s="69">
        <v>1050</v>
      </c>
      <c r="I47" s="70" t="s">
        <v>219</v>
      </c>
      <c r="J47" s="34">
        <v>42477</v>
      </c>
      <c r="K47" s="93">
        <v>5</v>
      </c>
      <c r="L47" s="35" t="s">
        <v>312</v>
      </c>
      <c r="M47" s="92">
        <v>42505</v>
      </c>
      <c r="N47" s="95">
        <v>4000</v>
      </c>
      <c r="O47" s="6" t="s">
        <v>376</v>
      </c>
      <c r="P47" s="98">
        <v>42533</v>
      </c>
      <c r="Q47" s="67">
        <v>350</v>
      </c>
      <c r="R47" s="27" t="s">
        <v>463</v>
      </c>
      <c r="S47" s="74">
        <v>42566</v>
      </c>
      <c r="T47" s="75">
        <v>142</v>
      </c>
      <c r="U47" s="51" t="s">
        <v>554</v>
      </c>
      <c r="V47" s="79">
        <v>42594</v>
      </c>
      <c r="W47" s="80">
        <v>150</v>
      </c>
      <c r="X47" s="39" t="s">
        <v>646</v>
      </c>
      <c r="Y47" s="83">
        <v>42623</v>
      </c>
      <c r="Z47" s="84">
        <v>800</v>
      </c>
      <c r="AA47" s="66" t="s">
        <v>764</v>
      </c>
      <c r="AB47" s="85">
        <v>42657</v>
      </c>
      <c r="AC47" s="86">
        <v>1000</v>
      </c>
      <c r="AD47" s="55" t="s">
        <v>880</v>
      </c>
      <c r="AE47" s="87">
        <v>42688</v>
      </c>
      <c r="AF47" s="88">
        <v>310</v>
      </c>
      <c r="AG47" s="58" t="s">
        <v>964</v>
      </c>
      <c r="AH47" s="121">
        <v>42713</v>
      </c>
      <c r="AI47" s="122">
        <v>60</v>
      </c>
      <c r="AJ47" s="62" t="s">
        <v>1113</v>
      </c>
    </row>
    <row r="48" spans="1:36" x14ac:dyDescent="0.25">
      <c r="A48" s="9">
        <v>42389</v>
      </c>
      <c r="B48" s="91">
        <v>345</v>
      </c>
      <c r="C48" s="77" t="s">
        <v>54</v>
      </c>
      <c r="D48" s="25">
        <v>42411</v>
      </c>
      <c r="E48" s="23">
        <v>1000</v>
      </c>
      <c r="F48" s="5" t="s">
        <v>17</v>
      </c>
      <c r="G48" s="68">
        <v>42440</v>
      </c>
      <c r="H48" s="69">
        <v>1000</v>
      </c>
      <c r="I48" s="70" t="s">
        <v>220</v>
      </c>
      <c r="J48" s="34">
        <v>42477</v>
      </c>
      <c r="K48" s="93">
        <v>139</v>
      </c>
      <c r="L48" s="35" t="s">
        <v>278</v>
      </c>
      <c r="M48" s="92">
        <v>42506</v>
      </c>
      <c r="N48" s="95">
        <v>349</v>
      </c>
      <c r="O48" s="6" t="s">
        <v>382</v>
      </c>
      <c r="P48" s="98">
        <v>42533</v>
      </c>
      <c r="Q48" s="67">
        <v>100</v>
      </c>
      <c r="R48" s="27" t="s">
        <v>440</v>
      </c>
      <c r="S48" s="74">
        <v>42566</v>
      </c>
      <c r="T48" s="75">
        <v>450</v>
      </c>
      <c r="U48" s="51" t="s">
        <v>468</v>
      </c>
      <c r="V48" s="79">
        <v>42594</v>
      </c>
      <c r="W48" s="80">
        <v>135</v>
      </c>
      <c r="X48" s="39" t="s">
        <v>647</v>
      </c>
      <c r="Y48" s="83">
        <v>42624</v>
      </c>
      <c r="Z48" s="84">
        <v>120</v>
      </c>
      <c r="AA48" s="66" t="s">
        <v>765</v>
      </c>
      <c r="AB48" s="85">
        <v>42657</v>
      </c>
      <c r="AC48" s="86">
        <v>345</v>
      </c>
      <c r="AD48" s="55" t="s">
        <v>881</v>
      </c>
      <c r="AE48" s="87">
        <v>42688</v>
      </c>
      <c r="AF48" s="88">
        <v>450</v>
      </c>
      <c r="AG48" s="58" t="s">
        <v>1001</v>
      </c>
      <c r="AH48" s="121">
        <v>42713</v>
      </c>
      <c r="AI48" s="122">
        <v>125.55</v>
      </c>
      <c r="AJ48" s="62" t="s">
        <v>1114</v>
      </c>
    </row>
    <row r="49" spans="1:36" x14ac:dyDescent="0.25">
      <c r="A49" s="9">
        <v>42390</v>
      </c>
      <c r="B49" s="91">
        <v>700</v>
      </c>
      <c r="C49" s="7" t="s">
        <v>55</v>
      </c>
      <c r="D49" s="25">
        <v>42411</v>
      </c>
      <c r="E49" s="23">
        <v>2000</v>
      </c>
      <c r="F49" s="5" t="s">
        <v>132</v>
      </c>
      <c r="G49" s="68">
        <v>42440</v>
      </c>
      <c r="H49" s="69">
        <v>2900</v>
      </c>
      <c r="I49" s="72" t="s">
        <v>221</v>
      </c>
      <c r="J49" s="34">
        <v>42477</v>
      </c>
      <c r="K49" s="93">
        <v>100</v>
      </c>
      <c r="L49" s="35" t="s">
        <v>313</v>
      </c>
      <c r="M49" s="92">
        <v>42506</v>
      </c>
      <c r="N49" s="95">
        <v>1760</v>
      </c>
      <c r="O49" s="6" t="s">
        <v>383</v>
      </c>
      <c r="P49" s="98">
        <v>42533</v>
      </c>
      <c r="Q49" s="67">
        <v>143.5</v>
      </c>
      <c r="R49" s="27" t="s">
        <v>439</v>
      </c>
      <c r="S49" s="74">
        <v>42566</v>
      </c>
      <c r="T49" s="75">
        <v>2700</v>
      </c>
      <c r="U49" s="51" t="s">
        <v>543</v>
      </c>
      <c r="V49" s="79">
        <v>42594</v>
      </c>
      <c r="W49" s="80">
        <v>2800</v>
      </c>
      <c r="X49" s="39" t="s">
        <v>648</v>
      </c>
      <c r="Y49" s="83">
        <v>42624</v>
      </c>
      <c r="Z49" s="84">
        <v>63</v>
      </c>
      <c r="AA49" s="66" t="s">
        <v>766</v>
      </c>
      <c r="AB49" s="85">
        <v>42658</v>
      </c>
      <c r="AC49" s="86">
        <v>450</v>
      </c>
      <c r="AD49" s="55" t="s">
        <v>882</v>
      </c>
      <c r="AE49" s="87">
        <v>42688</v>
      </c>
      <c r="AF49" s="88">
        <v>290</v>
      </c>
      <c r="AG49" s="58" t="s">
        <v>1002</v>
      </c>
      <c r="AH49" s="121">
        <v>42713</v>
      </c>
      <c r="AI49" s="122">
        <v>2350</v>
      </c>
      <c r="AJ49" s="62" t="s">
        <v>1115</v>
      </c>
    </row>
    <row r="50" spans="1:36" x14ac:dyDescent="0.25">
      <c r="A50" s="9">
        <v>42390</v>
      </c>
      <c r="B50" s="91">
        <v>100</v>
      </c>
      <c r="C50" s="7" t="s">
        <v>56</v>
      </c>
      <c r="D50" s="25">
        <v>42411</v>
      </c>
      <c r="E50" s="23">
        <v>751.4</v>
      </c>
      <c r="F50" s="5" t="s">
        <v>143</v>
      </c>
      <c r="G50" s="68">
        <v>42440</v>
      </c>
      <c r="H50" s="69">
        <v>600</v>
      </c>
      <c r="I50" s="70" t="s">
        <v>222</v>
      </c>
      <c r="J50" s="34">
        <v>42477</v>
      </c>
      <c r="K50" s="93">
        <v>500</v>
      </c>
      <c r="L50" s="35" t="s">
        <v>314</v>
      </c>
      <c r="M50" s="92">
        <v>42506</v>
      </c>
      <c r="N50" s="95">
        <v>1224</v>
      </c>
      <c r="O50" s="6" t="s">
        <v>385</v>
      </c>
      <c r="P50" s="98">
        <v>42534</v>
      </c>
      <c r="Q50" s="67">
        <v>84</v>
      </c>
      <c r="R50" s="27" t="s">
        <v>464</v>
      </c>
      <c r="S50" s="74">
        <v>42566</v>
      </c>
      <c r="T50" s="75">
        <v>29000</v>
      </c>
      <c r="U50" s="51" t="s">
        <v>541</v>
      </c>
      <c r="V50" s="79">
        <v>42594</v>
      </c>
      <c r="W50" s="80">
        <v>640</v>
      </c>
      <c r="X50" s="39" t="s">
        <v>649</v>
      </c>
      <c r="Y50" s="83">
        <v>42624</v>
      </c>
      <c r="Z50" s="84">
        <v>8</v>
      </c>
      <c r="AA50" s="66" t="s">
        <v>767</v>
      </c>
      <c r="AB50" s="85">
        <v>42658</v>
      </c>
      <c r="AC50" s="86">
        <v>350</v>
      </c>
      <c r="AD50" s="55" t="s">
        <v>883</v>
      </c>
      <c r="AE50" s="87">
        <v>42688</v>
      </c>
      <c r="AF50" s="88">
        <v>350</v>
      </c>
      <c r="AG50" s="58" t="s">
        <v>1003</v>
      </c>
      <c r="AH50" s="121">
        <v>42713</v>
      </c>
      <c r="AI50" s="122">
        <v>420</v>
      </c>
      <c r="AJ50" s="62" t="s">
        <v>1116</v>
      </c>
    </row>
    <row r="51" spans="1:36" x14ac:dyDescent="0.25">
      <c r="A51" s="9">
        <v>42391</v>
      </c>
      <c r="B51" s="91">
        <v>127.6</v>
      </c>
      <c r="C51" s="7" t="s">
        <v>57</v>
      </c>
      <c r="D51" s="25">
        <v>42412</v>
      </c>
      <c r="E51" s="23">
        <v>270.3</v>
      </c>
      <c r="F51" s="5" t="s">
        <v>133</v>
      </c>
      <c r="G51" s="68">
        <v>42441</v>
      </c>
      <c r="H51" s="69">
        <v>500</v>
      </c>
      <c r="I51" s="70" t="s">
        <v>223</v>
      </c>
      <c r="J51" s="34">
        <v>42478</v>
      </c>
      <c r="K51" s="93">
        <v>110</v>
      </c>
      <c r="L51" s="35" t="s">
        <v>115</v>
      </c>
      <c r="M51" s="92">
        <v>42506</v>
      </c>
      <c r="N51" s="95">
        <v>131</v>
      </c>
      <c r="O51" s="6" t="s">
        <v>384</v>
      </c>
      <c r="P51" s="98">
        <v>42534</v>
      </c>
      <c r="Q51" s="67">
        <v>200</v>
      </c>
      <c r="R51" s="27" t="s">
        <v>465</v>
      </c>
      <c r="S51" s="74">
        <v>42566</v>
      </c>
      <c r="T51" s="75">
        <v>4000</v>
      </c>
      <c r="U51" s="51" t="s">
        <v>542</v>
      </c>
      <c r="V51" s="79">
        <v>42594</v>
      </c>
      <c r="W51" s="80">
        <v>443</v>
      </c>
      <c r="X51" s="39" t="s">
        <v>650</v>
      </c>
      <c r="Y51" s="83">
        <v>42624</v>
      </c>
      <c r="Z51" s="84">
        <v>500</v>
      </c>
      <c r="AA51" s="66" t="s">
        <v>768</v>
      </c>
      <c r="AB51" s="85">
        <v>42658</v>
      </c>
      <c r="AC51" s="86">
        <v>500</v>
      </c>
      <c r="AD51" s="55" t="s">
        <v>884</v>
      </c>
      <c r="AE51" s="87">
        <v>42688</v>
      </c>
      <c r="AF51" s="88">
        <v>200</v>
      </c>
      <c r="AG51" s="58" t="s">
        <v>1004</v>
      </c>
      <c r="AH51" s="121">
        <v>42714</v>
      </c>
      <c r="AI51" s="122">
        <v>835</v>
      </c>
      <c r="AJ51" s="62" t="s">
        <v>1117</v>
      </c>
    </row>
    <row r="52" spans="1:36" x14ac:dyDescent="0.25">
      <c r="A52" s="9">
        <v>42391</v>
      </c>
      <c r="B52" s="91">
        <v>60</v>
      </c>
      <c r="C52" s="7" t="s">
        <v>58</v>
      </c>
      <c r="D52" s="25">
        <v>42412</v>
      </c>
      <c r="E52" s="23">
        <v>55</v>
      </c>
      <c r="F52" s="5" t="s">
        <v>134</v>
      </c>
      <c r="G52" s="68">
        <v>42441</v>
      </c>
      <c r="H52" s="69">
        <v>500</v>
      </c>
      <c r="I52" s="70" t="s">
        <v>223</v>
      </c>
      <c r="J52" s="34">
        <v>42478</v>
      </c>
      <c r="K52" s="93">
        <v>287</v>
      </c>
      <c r="L52" s="35" t="s">
        <v>315</v>
      </c>
      <c r="M52" s="92">
        <v>42506</v>
      </c>
      <c r="N52" s="95">
        <v>500</v>
      </c>
      <c r="O52" s="6" t="s">
        <v>386</v>
      </c>
      <c r="P52" s="98">
        <v>42534</v>
      </c>
      <c r="Q52" s="67">
        <v>400</v>
      </c>
      <c r="R52" s="27" t="s">
        <v>466</v>
      </c>
      <c r="S52" s="74">
        <v>42566</v>
      </c>
      <c r="T52" s="75">
        <v>1000</v>
      </c>
      <c r="U52" s="51" t="s">
        <v>544</v>
      </c>
      <c r="V52" s="79">
        <v>42594</v>
      </c>
      <c r="W52" s="80">
        <v>500</v>
      </c>
      <c r="X52" s="39" t="s">
        <v>651</v>
      </c>
      <c r="Y52" s="83">
        <v>42625</v>
      </c>
      <c r="Z52" s="84">
        <v>280</v>
      </c>
      <c r="AA52" s="66" t="s">
        <v>769</v>
      </c>
      <c r="AB52" s="85">
        <v>42658</v>
      </c>
      <c r="AC52" s="86">
        <v>10</v>
      </c>
      <c r="AD52" s="55" t="s">
        <v>885</v>
      </c>
      <c r="AE52" s="87">
        <v>42688</v>
      </c>
      <c r="AF52" s="88">
        <v>290</v>
      </c>
      <c r="AG52" s="58" t="s">
        <v>1000</v>
      </c>
      <c r="AH52" s="121">
        <v>42410</v>
      </c>
      <c r="AI52" s="122">
        <v>56</v>
      </c>
      <c r="AJ52" s="62" t="s">
        <v>1118</v>
      </c>
    </row>
    <row r="53" spans="1:36" x14ac:dyDescent="0.25">
      <c r="A53" s="9">
        <v>42391</v>
      </c>
      <c r="B53" s="91">
        <v>1204</v>
      </c>
      <c r="C53" s="7" t="s">
        <v>59</v>
      </c>
      <c r="D53" s="25">
        <v>42412</v>
      </c>
      <c r="E53" s="23">
        <v>250</v>
      </c>
      <c r="F53" s="5" t="s">
        <v>135</v>
      </c>
      <c r="G53" s="68">
        <v>42441</v>
      </c>
      <c r="H53" s="69">
        <v>500</v>
      </c>
      <c r="I53" s="70" t="s">
        <v>224</v>
      </c>
      <c r="J53" s="34">
        <v>42479</v>
      </c>
      <c r="K53" s="93">
        <v>329.6</v>
      </c>
      <c r="L53" s="35" t="s">
        <v>316</v>
      </c>
      <c r="M53" s="92">
        <v>42507</v>
      </c>
      <c r="N53" s="95">
        <v>3450</v>
      </c>
      <c r="O53" s="6" t="s">
        <v>387</v>
      </c>
      <c r="P53" s="98">
        <v>42534</v>
      </c>
      <c r="Q53" s="67">
        <v>110</v>
      </c>
      <c r="R53" s="27" t="s">
        <v>467</v>
      </c>
      <c r="S53" s="74">
        <v>42568</v>
      </c>
      <c r="T53" s="75">
        <v>97</v>
      </c>
      <c r="U53" s="51" t="s">
        <v>555</v>
      </c>
      <c r="V53" s="79">
        <v>42594</v>
      </c>
      <c r="W53" s="80">
        <v>500</v>
      </c>
      <c r="X53" s="39" t="s">
        <v>652</v>
      </c>
      <c r="Y53" s="83">
        <v>42625</v>
      </c>
      <c r="Z53" s="84">
        <v>200</v>
      </c>
      <c r="AA53" s="66" t="s">
        <v>770</v>
      </c>
      <c r="AB53" s="85">
        <v>42658</v>
      </c>
      <c r="AC53" s="86">
        <v>17000</v>
      </c>
      <c r="AD53" s="55" t="s">
        <v>886</v>
      </c>
      <c r="AE53" s="87">
        <v>42689</v>
      </c>
      <c r="AF53" s="88">
        <v>200</v>
      </c>
      <c r="AG53" s="58" t="s">
        <v>1005</v>
      </c>
      <c r="AH53" s="121">
        <v>42410</v>
      </c>
      <c r="AI53" s="122">
        <v>1000</v>
      </c>
      <c r="AJ53" s="62" t="s">
        <v>1119</v>
      </c>
    </row>
    <row r="54" spans="1:36" x14ac:dyDescent="0.25">
      <c r="A54" s="9">
        <v>42391</v>
      </c>
      <c r="B54" s="91">
        <v>7</v>
      </c>
      <c r="C54" s="7" t="s">
        <v>60</v>
      </c>
      <c r="D54" s="25">
        <v>42412</v>
      </c>
      <c r="E54" s="23">
        <v>2000</v>
      </c>
      <c r="F54" s="5" t="s">
        <v>136</v>
      </c>
      <c r="G54" s="68">
        <v>42441</v>
      </c>
      <c r="H54" s="69">
        <v>200</v>
      </c>
      <c r="I54" s="70" t="s">
        <v>225</v>
      </c>
      <c r="J54" s="34">
        <v>42479</v>
      </c>
      <c r="K54" s="93">
        <v>19.5</v>
      </c>
      <c r="L54" s="39" t="s">
        <v>316</v>
      </c>
      <c r="M54" s="92">
        <v>42508</v>
      </c>
      <c r="N54" s="95">
        <v>132</v>
      </c>
      <c r="O54" s="6" t="s">
        <v>37</v>
      </c>
      <c r="P54" s="98">
        <v>42535</v>
      </c>
      <c r="Q54" s="67">
        <v>141</v>
      </c>
      <c r="R54" s="27" t="s">
        <v>472</v>
      </c>
      <c r="S54" s="74">
        <v>42568</v>
      </c>
      <c r="T54" s="75">
        <v>120</v>
      </c>
      <c r="U54" s="51" t="s">
        <v>537</v>
      </c>
      <c r="V54" s="79">
        <v>42594</v>
      </c>
      <c r="W54" s="80">
        <v>500</v>
      </c>
      <c r="X54" s="39" t="s">
        <v>653</v>
      </c>
      <c r="Y54" s="83">
        <v>42625</v>
      </c>
      <c r="Z54" s="84">
        <v>200</v>
      </c>
      <c r="AA54" s="66" t="s">
        <v>770</v>
      </c>
      <c r="AB54" s="85">
        <v>42658</v>
      </c>
      <c r="AC54" s="86">
        <v>12000</v>
      </c>
      <c r="AD54" s="55" t="s">
        <v>887</v>
      </c>
      <c r="AE54" s="87">
        <v>42689</v>
      </c>
      <c r="AF54" s="88">
        <v>350</v>
      </c>
      <c r="AG54" s="58" t="s">
        <v>993</v>
      </c>
      <c r="AH54" s="121">
        <v>42714</v>
      </c>
      <c r="AI54" s="122">
        <v>150</v>
      </c>
      <c r="AJ54" s="62" t="s">
        <v>1120</v>
      </c>
    </row>
    <row r="55" spans="1:36" x14ac:dyDescent="0.25">
      <c r="A55" s="9">
        <v>42391</v>
      </c>
      <c r="B55" s="91">
        <v>1000</v>
      </c>
      <c r="C55" s="7" t="s">
        <v>17</v>
      </c>
      <c r="D55" s="25">
        <v>42412</v>
      </c>
      <c r="E55" s="23">
        <v>350</v>
      </c>
      <c r="F55" s="5" t="s">
        <v>137</v>
      </c>
      <c r="G55" s="68">
        <v>42441</v>
      </c>
      <c r="H55" s="69">
        <v>800</v>
      </c>
      <c r="I55" s="70" t="s">
        <v>226</v>
      </c>
      <c r="J55" s="34">
        <v>42481</v>
      </c>
      <c r="K55" s="93">
        <v>263.2</v>
      </c>
      <c r="L55" s="40" t="s">
        <v>302</v>
      </c>
      <c r="M55" s="92">
        <v>42508</v>
      </c>
      <c r="N55" s="95">
        <v>67.5</v>
      </c>
      <c r="O55" s="6" t="s">
        <v>388</v>
      </c>
      <c r="P55" s="98">
        <v>42535</v>
      </c>
      <c r="Q55" s="67">
        <v>20</v>
      </c>
      <c r="R55" s="27" t="s">
        <v>473</v>
      </c>
      <c r="S55" s="74">
        <v>42568</v>
      </c>
      <c r="T55" s="75">
        <v>300</v>
      </c>
      <c r="U55" s="51" t="s">
        <v>556</v>
      </c>
      <c r="V55" s="79">
        <v>42594</v>
      </c>
      <c r="W55" s="80">
        <v>100</v>
      </c>
      <c r="X55" s="39" t="s">
        <v>654</v>
      </c>
      <c r="Y55" s="83">
        <v>42626</v>
      </c>
      <c r="Z55" s="84">
        <v>951</v>
      </c>
      <c r="AA55" s="66" t="s">
        <v>771</v>
      </c>
      <c r="AB55" s="85">
        <v>42658</v>
      </c>
      <c r="AC55" s="86">
        <v>4000</v>
      </c>
      <c r="AD55" s="55" t="s">
        <v>888</v>
      </c>
      <c r="AE55" s="87">
        <v>42689</v>
      </c>
      <c r="AF55" s="88">
        <v>450</v>
      </c>
      <c r="AG55" s="58" t="s">
        <v>997</v>
      </c>
      <c r="AH55" s="121">
        <v>42714</v>
      </c>
      <c r="AI55" s="122">
        <v>449</v>
      </c>
      <c r="AJ55" s="62" t="s">
        <v>1121</v>
      </c>
    </row>
    <row r="56" spans="1:36" x14ac:dyDescent="0.25">
      <c r="A56" s="9">
        <v>42391</v>
      </c>
      <c r="B56" s="91">
        <v>320</v>
      </c>
      <c r="C56" s="7" t="s">
        <v>61</v>
      </c>
      <c r="D56" s="25">
        <v>42414</v>
      </c>
      <c r="E56" s="23">
        <v>100</v>
      </c>
      <c r="F56" s="5" t="s">
        <v>67</v>
      </c>
      <c r="G56" s="68">
        <v>42441</v>
      </c>
      <c r="H56" s="69">
        <v>800</v>
      </c>
      <c r="I56" s="70" t="s">
        <v>227</v>
      </c>
      <c r="J56" s="34">
        <v>42481</v>
      </c>
      <c r="K56" s="93">
        <v>112.92</v>
      </c>
      <c r="L56" s="39" t="s">
        <v>329</v>
      </c>
      <c r="M56" s="92">
        <v>42509</v>
      </c>
      <c r="N56" s="95">
        <v>7</v>
      </c>
      <c r="O56" s="6" t="s">
        <v>392</v>
      </c>
      <c r="P56" s="98">
        <v>42536</v>
      </c>
      <c r="Q56" s="67">
        <v>500</v>
      </c>
      <c r="R56" s="27" t="s">
        <v>474</v>
      </c>
      <c r="S56" s="74">
        <v>42568</v>
      </c>
      <c r="T56" s="75">
        <v>135</v>
      </c>
      <c r="U56" s="51" t="s">
        <v>557</v>
      </c>
      <c r="V56" s="79">
        <v>42595</v>
      </c>
      <c r="W56" s="80">
        <v>300</v>
      </c>
      <c r="X56" s="39" t="s">
        <v>657</v>
      </c>
      <c r="Y56" s="83">
        <v>42626</v>
      </c>
      <c r="Z56" s="84">
        <v>500</v>
      </c>
      <c r="AA56" s="66" t="s">
        <v>772</v>
      </c>
      <c r="AB56" s="85">
        <v>42659</v>
      </c>
      <c r="AC56" s="86">
        <v>60</v>
      </c>
      <c r="AD56" s="55" t="s">
        <v>841</v>
      </c>
      <c r="AE56" s="87">
        <v>42689</v>
      </c>
      <c r="AF56" s="88">
        <v>1224</v>
      </c>
      <c r="AG56" s="105" t="s">
        <v>994</v>
      </c>
      <c r="AH56" s="121">
        <v>42714</v>
      </c>
      <c r="AI56" s="122">
        <v>200</v>
      </c>
      <c r="AJ56" s="62" t="s">
        <v>1122</v>
      </c>
    </row>
    <row r="57" spans="1:36" x14ac:dyDescent="0.25">
      <c r="A57" s="9">
        <v>42391</v>
      </c>
      <c r="B57" s="91">
        <v>40</v>
      </c>
      <c r="C57" s="7" t="s">
        <v>62</v>
      </c>
      <c r="D57" s="25">
        <v>42414</v>
      </c>
      <c r="E57" s="23">
        <v>90</v>
      </c>
      <c r="F57" s="8" t="s">
        <v>131</v>
      </c>
      <c r="G57" s="68">
        <v>42441</v>
      </c>
      <c r="H57" s="69">
        <v>2300</v>
      </c>
      <c r="I57" s="70" t="s">
        <v>228</v>
      </c>
      <c r="J57" s="34">
        <v>42481</v>
      </c>
      <c r="K57" s="93">
        <v>5</v>
      </c>
      <c r="L57" s="39" t="s">
        <v>317</v>
      </c>
      <c r="M57" s="92">
        <v>42509</v>
      </c>
      <c r="N57" s="95">
        <v>650</v>
      </c>
      <c r="O57" s="6" t="s">
        <v>393</v>
      </c>
      <c r="P57" s="98">
        <v>42536</v>
      </c>
      <c r="Q57" s="67">
        <v>1760</v>
      </c>
      <c r="R57" s="27" t="s">
        <v>568</v>
      </c>
      <c r="S57" s="74">
        <v>42569</v>
      </c>
      <c r="T57" s="75">
        <v>400</v>
      </c>
      <c r="U57" s="51" t="s">
        <v>558</v>
      </c>
      <c r="V57" s="79">
        <v>42596</v>
      </c>
      <c r="W57" s="80">
        <v>120</v>
      </c>
      <c r="X57" s="39" t="s">
        <v>658</v>
      </c>
      <c r="Y57" s="83">
        <v>42626</v>
      </c>
      <c r="Z57" s="84">
        <v>81</v>
      </c>
      <c r="AA57" s="66" t="s">
        <v>773</v>
      </c>
      <c r="AB57" s="85">
        <v>42659</v>
      </c>
      <c r="AC57" s="86">
        <v>120</v>
      </c>
      <c r="AD57" s="55" t="s">
        <v>889</v>
      </c>
      <c r="AE57" s="87">
        <v>42689</v>
      </c>
      <c r="AF57" s="88">
        <v>1760</v>
      </c>
      <c r="AG57" s="105" t="s">
        <v>995</v>
      </c>
      <c r="AH57" s="121">
        <v>42714</v>
      </c>
      <c r="AI57" s="122">
        <v>190</v>
      </c>
      <c r="AJ57" s="62" t="s">
        <v>1123</v>
      </c>
    </row>
    <row r="58" spans="1:36" x14ac:dyDescent="0.25">
      <c r="A58" s="9">
        <v>42391</v>
      </c>
      <c r="B58" s="91">
        <v>175</v>
      </c>
      <c r="C58" s="7" t="s">
        <v>50</v>
      </c>
      <c r="D58" s="25">
        <v>42414</v>
      </c>
      <c r="E58" s="23">
        <v>202.52</v>
      </c>
      <c r="F58" s="8" t="s">
        <v>138</v>
      </c>
      <c r="G58" s="68">
        <v>42441</v>
      </c>
      <c r="H58" s="69">
        <v>100</v>
      </c>
      <c r="I58" s="70" t="s">
        <v>197</v>
      </c>
      <c r="J58" s="34">
        <v>42482</v>
      </c>
      <c r="K58" s="93">
        <v>1000</v>
      </c>
      <c r="L58" s="39" t="s">
        <v>318</v>
      </c>
      <c r="M58" s="92">
        <v>42510</v>
      </c>
      <c r="N58" s="95">
        <v>350</v>
      </c>
      <c r="O58" s="6" t="s">
        <v>394</v>
      </c>
      <c r="P58" s="98">
        <v>42536</v>
      </c>
      <c r="Q58" s="67">
        <v>1224</v>
      </c>
      <c r="R58" s="27" t="s">
        <v>475</v>
      </c>
      <c r="S58" s="74">
        <v>42569</v>
      </c>
      <c r="T58" s="75">
        <v>142</v>
      </c>
      <c r="U58" s="51" t="s">
        <v>349</v>
      </c>
      <c r="V58" s="79">
        <v>42596</v>
      </c>
      <c r="W58" s="80">
        <v>63</v>
      </c>
      <c r="X58" s="39" t="s">
        <v>555</v>
      </c>
      <c r="Y58" s="83">
        <v>42626</v>
      </c>
      <c r="Z58" s="84">
        <v>750</v>
      </c>
      <c r="AA58" s="66" t="s">
        <v>774</v>
      </c>
      <c r="AB58" s="85">
        <v>42660</v>
      </c>
      <c r="AC58" s="86">
        <v>310</v>
      </c>
      <c r="AD58" s="104" t="s">
        <v>863</v>
      </c>
      <c r="AE58" s="87">
        <v>42689</v>
      </c>
      <c r="AF58" s="88">
        <v>14500</v>
      </c>
      <c r="AG58" s="58" t="s">
        <v>1008</v>
      </c>
      <c r="AH58" s="121">
        <v>42714</v>
      </c>
      <c r="AI58" s="122">
        <v>26470.23</v>
      </c>
      <c r="AJ58" s="62" t="s">
        <v>1124</v>
      </c>
    </row>
    <row r="59" spans="1:36" x14ac:dyDescent="0.25">
      <c r="A59" s="9">
        <v>42391</v>
      </c>
      <c r="B59" s="91">
        <v>407.53</v>
      </c>
      <c r="C59" s="7" t="s">
        <v>63</v>
      </c>
      <c r="D59" s="25">
        <v>42415</v>
      </c>
      <c r="E59" s="23">
        <v>450</v>
      </c>
      <c r="F59" s="5" t="s">
        <v>139</v>
      </c>
      <c r="G59" s="68">
        <v>42442</v>
      </c>
      <c r="H59" s="69">
        <v>79.5</v>
      </c>
      <c r="I59" s="70" t="s">
        <v>229</v>
      </c>
      <c r="J59" s="34">
        <v>42482</v>
      </c>
      <c r="K59" s="93">
        <v>142</v>
      </c>
      <c r="L59" s="39" t="s">
        <v>319</v>
      </c>
      <c r="M59" s="92">
        <v>42510</v>
      </c>
      <c r="N59" s="95">
        <v>175</v>
      </c>
      <c r="O59" s="6" t="s">
        <v>395</v>
      </c>
      <c r="P59" s="98">
        <v>42536</v>
      </c>
      <c r="Q59" s="67">
        <v>100</v>
      </c>
      <c r="R59" s="27" t="s">
        <v>476</v>
      </c>
      <c r="S59" s="74">
        <v>42571</v>
      </c>
      <c r="T59" s="75">
        <v>3290</v>
      </c>
      <c r="U59" s="51" t="s">
        <v>559</v>
      </c>
      <c r="V59" s="79">
        <v>42596</v>
      </c>
      <c r="W59" s="80">
        <v>450</v>
      </c>
      <c r="X59" s="101" t="s">
        <v>659</v>
      </c>
      <c r="Y59" s="83">
        <v>42626</v>
      </c>
      <c r="Z59" s="84">
        <v>200</v>
      </c>
      <c r="AA59" s="66" t="s">
        <v>775</v>
      </c>
      <c r="AB59" s="85">
        <v>42660</v>
      </c>
      <c r="AC59" s="86">
        <v>400</v>
      </c>
      <c r="AD59" s="104" t="s">
        <v>890</v>
      </c>
      <c r="AE59" s="87">
        <v>42689</v>
      </c>
      <c r="AF59" s="88">
        <v>4000</v>
      </c>
      <c r="AG59" s="58" t="s">
        <v>996</v>
      </c>
      <c r="AH59" s="121">
        <v>42714</v>
      </c>
      <c r="AI59" s="122">
        <v>500</v>
      </c>
      <c r="AJ59" s="62" t="s">
        <v>1125</v>
      </c>
    </row>
    <row r="60" spans="1:36" x14ac:dyDescent="0.25">
      <c r="A60" s="9">
        <v>42391</v>
      </c>
      <c r="B60" s="91">
        <v>15</v>
      </c>
      <c r="C60" s="7" t="s">
        <v>64</v>
      </c>
      <c r="D60" s="25">
        <v>42415</v>
      </c>
      <c r="E60" s="23">
        <v>190</v>
      </c>
      <c r="F60" s="5" t="s">
        <v>155</v>
      </c>
      <c r="G60" s="68">
        <v>42442</v>
      </c>
      <c r="H60" s="69">
        <v>115.5</v>
      </c>
      <c r="I60" s="70" t="s">
        <v>204</v>
      </c>
      <c r="J60" s="34">
        <v>42482</v>
      </c>
      <c r="K60" s="93">
        <v>48</v>
      </c>
      <c r="L60" s="39" t="s">
        <v>320</v>
      </c>
      <c r="M60" s="92">
        <v>42510</v>
      </c>
      <c r="N60" s="95">
        <v>160</v>
      </c>
      <c r="O60" s="6" t="s">
        <v>396</v>
      </c>
      <c r="P60" s="98">
        <v>42536</v>
      </c>
      <c r="Q60" s="67">
        <v>180</v>
      </c>
      <c r="R60" s="27" t="s">
        <v>477</v>
      </c>
      <c r="S60" s="74">
        <v>42571</v>
      </c>
      <c r="T60" s="75">
        <v>100</v>
      </c>
      <c r="U60" s="76" t="s">
        <v>560</v>
      </c>
      <c r="V60" s="79">
        <v>42596</v>
      </c>
      <c r="W60" s="80">
        <v>500</v>
      </c>
      <c r="X60" s="39" t="s">
        <v>660</v>
      </c>
      <c r="Y60" s="83">
        <v>42626</v>
      </c>
      <c r="Z60" s="84">
        <v>52</v>
      </c>
      <c r="AA60" s="66" t="s">
        <v>776</v>
      </c>
      <c r="AB60" s="85">
        <v>42660</v>
      </c>
      <c r="AC60" s="86">
        <v>349.5</v>
      </c>
      <c r="AD60" s="104" t="s">
        <v>891</v>
      </c>
      <c r="AE60" s="87">
        <v>42689</v>
      </c>
      <c r="AF60" s="88">
        <v>300</v>
      </c>
      <c r="AG60" s="58" t="s">
        <v>1006</v>
      </c>
      <c r="AH60" s="121">
        <v>42714</v>
      </c>
      <c r="AI60" s="122">
        <v>300</v>
      </c>
      <c r="AJ60" s="62" t="s">
        <v>1126</v>
      </c>
    </row>
    <row r="61" spans="1:36" ht="15" customHeight="1" x14ac:dyDescent="0.25">
      <c r="A61" s="9">
        <v>42392</v>
      </c>
      <c r="B61" s="91">
        <v>230</v>
      </c>
      <c r="C61" s="7" t="s">
        <v>65</v>
      </c>
      <c r="D61" s="25">
        <v>42415</v>
      </c>
      <c r="E61" s="23">
        <v>385</v>
      </c>
      <c r="F61" s="5" t="s">
        <v>157</v>
      </c>
      <c r="G61" s="68">
        <v>42443</v>
      </c>
      <c r="H61" s="69">
        <v>128</v>
      </c>
      <c r="I61" s="70" t="s">
        <v>230</v>
      </c>
      <c r="J61" s="34">
        <v>42484</v>
      </c>
      <c r="K61" s="93">
        <v>100</v>
      </c>
      <c r="L61" s="39" t="s">
        <v>321</v>
      </c>
      <c r="M61" s="92">
        <v>42510</v>
      </c>
      <c r="N61" s="95">
        <v>500</v>
      </c>
      <c r="O61" s="6" t="s">
        <v>397</v>
      </c>
      <c r="P61" s="98">
        <v>42536</v>
      </c>
      <c r="Q61" s="67">
        <v>171.4</v>
      </c>
      <c r="R61" s="27" t="s">
        <v>478</v>
      </c>
      <c r="S61" s="74">
        <v>42571</v>
      </c>
      <c r="T61" s="75">
        <v>110</v>
      </c>
      <c r="U61" s="51" t="s">
        <v>167</v>
      </c>
      <c r="V61" s="79">
        <v>42596</v>
      </c>
      <c r="W61" s="80">
        <v>50</v>
      </c>
      <c r="X61" s="39" t="s">
        <v>661</v>
      </c>
      <c r="Y61" s="83">
        <v>42626</v>
      </c>
      <c r="Z61" s="84">
        <v>175</v>
      </c>
      <c r="AA61" s="66" t="s">
        <v>777</v>
      </c>
      <c r="AB61" s="85">
        <v>42660</v>
      </c>
      <c r="AC61" s="86">
        <v>693</v>
      </c>
      <c r="AD61" s="104" t="s">
        <v>892</v>
      </c>
      <c r="AE61" s="87">
        <v>42689</v>
      </c>
      <c r="AF61" s="88">
        <v>100</v>
      </c>
      <c r="AG61" s="58" t="s">
        <v>1007</v>
      </c>
      <c r="AH61" s="121">
        <v>42714</v>
      </c>
      <c r="AI61" s="122">
        <v>500</v>
      </c>
      <c r="AJ61" s="62" t="s">
        <v>1127</v>
      </c>
    </row>
    <row r="62" spans="1:36" ht="15" customHeight="1" x14ac:dyDescent="0.25">
      <c r="A62" s="9">
        <v>42392</v>
      </c>
      <c r="B62" s="91">
        <v>120</v>
      </c>
      <c r="C62" s="7" t="s">
        <v>66</v>
      </c>
      <c r="D62" s="25">
        <v>42415</v>
      </c>
      <c r="E62" s="23">
        <v>30.5</v>
      </c>
      <c r="F62" s="5" t="s">
        <v>158</v>
      </c>
      <c r="G62" s="68">
        <v>42443</v>
      </c>
      <c r="H62" s="69">
        <v>30</v>
      </c>
      <c r="I62" s="70" t="s">
        <v>231</v>
      </c>
      <c r="J62" s="34">
        <v>42484</v>
      </c>
      <c r="K62" s="93">
        <v>111</v>
      </c>
      <c r="L62" s="39" t="s">
        <v>322</v>
      </c>
      <c r="M62" s="92">
        <v>42510</v>
      </c>
      <c r="N62" s="95">
        <v>1000</v>
      </c>
      <c r="O62" s="6" t="s">
        <v>389</v>
      </c>
      <c r="P62" s="98">
        <v>42536</v>
      </c>
      <c r="Q62" s="67">
        <v>400</v>
      </c>
      <c r="R62" s="27" t="s">
        <v>479</v>
      </c>
      <c r="S62" s="74">
        <v>42571</v>
      </c>
      <c r="T62" s="75">
        <v>630</v>
      </c>
      <c r="U62" s="51" t="s">
        <v>561</v>
      </c>
      <c r="V62" s="79">
        <v>42596</v>
      </c>
      <c r="W62" s="80">
        <v>119</v>
      </c>
      <c r="X62" s="39" t="s">
        <v>662</v>
      </c>
      <c r="Y62" s="83">
        <v>42626</v>
      </c>
      <c r="Z62" s="84">
        <v>267.5</v>
      </c>
      <c r="AA62" s="66" t="s">
        <v>778</v>
      </c>
      <c r="AB62" s="85">
        <v>42661</v>
      </c>
      <c r="AC62" s="86">
        <v>380</v>
      </c>
      <c r="AD62" s="104" t="s">
        <v>893</v>
      </c>
      <c r="AE62" s="87">
        <v>42689</v>
      </c>
      <c r="AF62" s="88">
        <v>150</v>
      </c>
      <c r="AG62" s="58" t="s">
        <v>1009</v>
      </c>
      <c r="AH62" s="121">
        <v>42714</v>
      </c>
      <c r="AI62" s="122">
        <v>250</v>
      </c>
      <c r="AJ62" s="62" t="s">
        <v>1128</v>
      </c>
    </row>
    <row r="63" spans="1:36" x14ac:dyDescent="0.25">
      <c r="A63" s="9">
        <v>42392</v>
      </c>
      <c r="B63" s="91">
        <v>100</v>
      </c>
      <c r="C63" s="7" t="s">
        <v>67</v>
      </c>
      <c r="D63" s="25">
        <v>42415</v>
      </c>
      <c r="E63" s="23">
        <v>350</v>
      </c>
      <c r="F63" s="5" t="s">
        <v>159</v>
      </c>
      <c r="G63" s="68">
        <v>42443</v>
      </c>
      <c r="H63" s="69">
        <v>142</v>
      </c>
      <c r="I63" s="70" t="s">
        <v>37</v>
      </c>
      <c r="J63" s="34">
        <v>42485</v>
      </c>
      <c r="K63" s="93">
        <v>110</v>
      </c>
      <c r="L63" s="39" t="s">
        <v>115</v>
      </c>
      <c r="M63" s="92">
        <v>42511</v>
      </c>
      <c r="N63" s="95">
        <v>3000</v>
      </c>
      <c r="O63" s="6" t="s">
        <v>398</v>
      </c>
      <c r="P63" s="98">
        <v>42536</v>
      </c>
      <c r="Q63" s="67">
        <v>450</v>
      </c>
      <c r="R63" s="27" t="s">
        <v>468</v>
      </c>
      <c r="S63" s="74">
        <v>42571</v>
      </c>
      <c r="T63" s="75">
        <v>200</v>
      </c>
      <c r="U63" s="51" t="s">
        <v>562</v>
      </c>
      <c r="V63" s="79">
        <v>42597</v>
      </c>
      <c r="W63" s="80">
        <v>450</v>
      </c>
      <c r="X63" s="39" t="s">
        <v>663</v>
      </c>
      <c r="Y63" s="83">
        <v>42627</v>
      </c>
      <c r="Z63" s="84">
        <v>250</v>
      </c>
      <c r="AA63" s="66" t="s">
        <v>779</v>
      </c>
      <c r="AB63" s="85">
        <v>42661</v>
      </c>
      <c r="AC63" s="86">
        <v>50</v>
      </c>
      <c r="AD63" s="104" t="s">
        <v>894</v>
      </c>
      <c r="AE63" s="87">
        <v>42689</v>
      </c>
      <c r="AF63" s="88">
        <v>14500</v>
      </c>
      <c r="AG63" s="58" t="s">
        <v>1047</v>
      </c>
      <c r="AH63" s="121">
        <v>42714</v>
      </c>
      <c r="AI63" s="122">
        <v>400</v>
      </c>
      <c r="AJ63" s="62" t="s">
        <v>1129</v>
      </c>
    </row>
    <row r="64" spans="1:36" x14ac:dyDescent="0.25">
      <c r="A64" s="9">
        <v>42392</v>
      </c>
      <c r="B64" s="91">
        <v>750</v>
      </c>
      <c r="C64" s="7" t="s">
        <v>68</v>
      </c>
      <c r="D64" s="25">
        <v>42415</v>
      </c>
      <c r="E64" s="107">
        <v>2700</v>
      </c>
      <c r="F64" s="5" t="s">
        <v>140</v>
      </c>
      <c r="G64" s="68">
        <v>42444</v>
      </c>
      <c r="H64" s="69">
        <v>450</v>
      </c>
      <c r="I64" s="70" t="s">
        <v>232</v>
      </c>
      <c r="J64" s="34">
        <v>42485</v>
      </c>
      <c r="K64" s="93">
        <v>149.19999999999999</v>
      </c>
      <c r="L64" s="39" t="s">
        <v>323</v>
      </c>
      <c r="M64" s="92">
        <v>42511</v>
      </c>
      <c r="N64" s="95">
        <v>720</v>
      </c>
      <c r="O64" s="6" t="s">
        <v>399</v>
      </c>
      <c r="P64" s="98">
        <v>42536</v>
      </c>
      <c r="Q64" s="67">
        <v>2700</v>
      </c>
      <c r="R64" s="27" t="s">
        <v>469</v>
      </c>
      <c r="S64" s="74">
        <v>42572</v>
      </c>
      <c r="T64" s="75">
        <v>200</v>
      </c>
      <c r="U64" s="51" t="s">
        <v>563</v>
      </c>
      <c r="V64" s="79">
        <v>42597</v>
      </c>
      <c r="W64" s="115">
        <v>2700</v>
      </c>
      <c r="X64" s="82" t="s">
        <v>664</v>
      </c>
      <c r="Y64" s="83">
        <v>42627</v>
      </c>
      <c r="Z64" s="84">
        <v>900</v>
      </c>
      <c r="AA64" s="66" t="s">
        <v>780</v>
      </c>
      <c r="AB64" s="85">
        <v>42661</v>
      </c>
      <c r="AC64" s="86">
        <v>300</v>
      </c>
      <c r="AD64" s="104" t="s">
        <v>895</v>
      </c>
      <c r="AE64" s="87">
        <v>42690</v>
      </c>
      <c r="AF64" s="88">
        <v>250</v>
      </c>
      <c r="AG64" s="58" t="s">
        <v>1010</v>
      </c>
      <c r="AH64" s="121">
        <v>42715</v>
      </c>
      <c r="AI64" s="122">
        <v>500</v>
      </c>
      <c r="AJ64" s="62" t="s">
        <v>1130</v>
      </c>
    </row>
    <row r="65" spans="1:36" x14ac:dyDescent="0.25">
      <c r="A65" s="9">
        <v>42393</v>
      </c>
      <c r="B65" s="91">
        <v>0</v>
      </c>
      <c r="C65" s="7" t="s">
        <v>69</v>
      </c>
      <c r="D65" s="25">
        <v>42415</v>
      </c>
      <c r="E65" s="107">
        <v>29000</v>
      </c>
      <c r="F65" s="5" t="s">
        <v>141</v>
      </c>
      <c r="G65" s="68">
        <v>42444</v>
      </c>
      <c r="H65" s="69">
        <v>1500</v>
      </c>
      <c r="I65" s="70" t="s">
        <v>233</v>
      </c>
      <c r="J65" s="34">
        <v>42485</v>
      </c>
      <c r="K65" s="93">
        <v>350</v>
      </c>
      <c r="L65" s="39" t="s">
        <v>343</v>
      </c>
      <c r="M65" s="92">
        <v>42511</v>
      </c>
      <c r="N65" s="95">
        <v>64.5</v>
      </c>
      <c r="O65" s="6" t="s">
        <v>364</v>
      </c>
      <c r="P65" s="98">
        <v>42536</v>
      </c>
      <c r="Q65" s="67">
        <v>29000</v>
      </c>
      <c r="R65" s="27" t="s">
        <v>470</v>
      </c>
      <c r="S65" s="74">
        <v>42572</v>
      </c>
      <c r="T65" s="75">
        <v>620</v>
      </c>
      <c r="U65" s="51" t="s">
        <v>564</v>
      </c>
      <c r="V65" s="79">
        <v>42597</v>
      </c>
      <c r="W65" s="115">
        <v>26000</v>
      </c>
      <c r="X65" s="82" t="s">
        <v>666</v>
      </c>
      <c r="Y65" s="83">
        <v>42627</v>
      </c>
      <c r="Z65" s="84">
        <v>350</v>
      </c>
      <c r="AA65" s="66" t="s">
        <v>781</v>
      </c>
      <c r="AB65" s="85">
        <v>42661</v>
      </c>
      <c r="AC65" s="86">
        <v>119.5</v>
      </c>
      <c r="AD65" s="104" t="s">
        <v>896</v>
      </c>
      <c r="AE65" s="87">
        <v>42690</v>
      </c>
      <c r="AF65" s="88">
        <v>280</v>
      </c>
      <c r="AG65" s="58" t="s">
        <v>714</v>
      </c>
      <c r="AH65" s="121">
        <v>42715</v>
      </c>
      <c r="AI65" s="122">
        <v>91</v>
      </c>
      <c r="AJ65" s="62" t="s">
        <v>794</v>
      </c>
    </row>
    <row r="66" spans="1:36" x14ac:dyDescent="0.25">
      <c r="A66" s="9">
        <v>42394</v>
      </c>
      <c r="B66" s="91">
        <v>19.8</v>
      </c>
      <c r="C66" s="7" t="s">
        <v>70</v>
      </c>
      <c r="D66" s="25">
        <v>42415</v>
      </c>
      <c r="E66" s="107">
        <v>4000</v>
      </c>
      <c r="F66" s="5" t="s">
        <v>142</v>
      </c>
      <c r="G66" s="109">
        <v>42444</v>
      </c>
      <c r="H66" s="110">
        <v>2700</v>
      </c>
      <c r="I66" s="108" t="s">
        <v>234</v>
      </c>
      <c r="J66" s="34">
        <v>42486</v>
      </c>
      <c r="K66" s="93">
        <v>180</v>
      </c>
      <c r="L66" s="39" t="s">
        <v>324</v>
      </c>
      <c r="M66" s="92">
        <v>42512</v>
      </c>
      <c r="N66" s="95">
        <v>100</v>
      </c>
      <c r="O66" s="6" t="s">
        <v>365</v>
      </c>
      <c r="P66" s="98">
        <v>42538</v>
      </c>
      <c r="Q66" s="67">
        <v>4000</v>
      </c>
      <c r="R66" s="27" t="s">
        <v>471</v>
      </c>
      <c r="S66" s="74">
        <v>42572</v>
      </c>
      <c r="T66" s="75">
        <v>3600</v>
      </c>
      <c r="U66" s="51" t="s">
        <v>565</v>
      </c>
      <c r="V66" s="79">
        <v>42597</v>
      </c>
      <c r="W66" s="115">
        <v>4000</v>
      </c>
      <c r="X66" s="82" t="s">
        <v>665</v>
      </c>
      <c r="Y66" s="83">
        <v>42627</v>
      </c>
      <c r="Z66" s="84">
        <v>406.5</v>
      </c>
      <c r="AA66" s="66" t="s">
        <v>782</v>
      </c>
      <c r="AB66" s="85">
        <v>42661</v>
      </c>
      <c r="AC66" s="86">
        <v>15.5</v>
      </c>
      <c r="AD66" s="104" t="s">
        <v>897</v>
      </c>
      <c r="AE66" s="87">
        <v>42690</v>
      </c>
      <c r="AF66" s="88">
        <v>230</v>
      </c>
      <c r="AG66" s="58" t="s">
        <v>1011</v>
      </c>
      <c r="AH66" s="121">
        <v>42715</v>
      </c>
      <c r="AI66" s="122">
        <v>120</v>
      </c>
      <c r="AJ66" s="62" t="s">
        <v>843</v>
      </c>
    </row>
    <row r="67" spans="1:36" x14ac:dyDescent="0.25">
      <c r="A67" s="9">
        <v>42394</v>
      </c>
      <c r="B67" s="91">
        <v>72</v>
      </c>
      <c r="C67" s="7" t="s">
        <v>20</v>
      </c>
      <c r="D67" s="25">
        <v>42416</v>
      </c>
      <c r="E67" s="23">
        <v>550</v>
      </c>
      <c r="F67" s="5" t="s">
        <v>145</v>
      </c>
      <c r="G67" s="109">
        <v>42444</v>
      </c>
      <c r="H67" s="110">
        <v>29000</v>
      </c>
      <c r="I67" s="108" t="s">
        <v>235</v>
      </c>
      <c r="J67" s="34">
        <v>42486</v>
      </c>
      <c r="K67" s="93">
        <v>15</v>
      </c>
      <c r="L67" s="39" t="s">
        <v>325</v>
      </c>
      <c r="M67" s="92">
        <v>42512</v>
      </c>
      <c r="N67" s="95">
        <v>84.4</v>
      </c>
      <c r="O67" s="6" t="s">
        <v>364</v>
      </c>
      <c r="P67" s="98">
        <v>41442</v>
      </c>
      <c r="Q67" s="67">
        <v>300</v>
      </c>
      <c r="R67" s="27" t="s">
        <v>480</v>
      </c>
      <c r="S67" s="74">
        <v>42572</v>
      </c>
      <c r="T67" s="75">
        <v>1224</v>
      </c>
      <c r="U67" s="51" t="s">
        <v>566</v>
      </c>
      <c r="V67" s="79">
        <v>42599</v>
      </c>
      <c r="W67" s="116">
        <v>1224</v>
      </c>
      <c r="X67" s="81" t="s">
        <v>668</v>
      </c>
      <c r="Y67" s="83">
        <v>42627</v>
      </c>
      <c r="Z67" s="84">
        <v>400</v>
      </c>
      <c r="AA67" s="66" t="s">
        <v>783</v>
      </c>
      <c r="AB67" s="85">
        <v>42661</v>
      </c>
      <c r="AC67" s="86">
        <v>200</v>
      </c>
      <c r="AD67" s="104" t="s">
        <v>898</v>
      </c>
      <c r="AE67" s="87">
        <v>42690</v>
      </c>
      <c r="AF67" s="88">
        <v>500</v>
      </c>
      <c r="AG67" s="58" t="s">
        <v>1012</v>
      </c>
      <c r="AH67" s="121">
        <v>42715</v>
      </c>
      <c r="AI67" s="122">
        <v>150</v>
      </c>
      <c r="AJ67" s="62" t="s">
        <v>1058</v>
      </c>
    </row>
    <row r="68" spans="1:36" x14ac:dyDescent="0.25">
      <c r="A68" s="9">
        <v>42394</v>
      </c>
      <c r="B68" s="91">
        <v>110</v>
      </c>
      <c r="C68" s="7" t="s">
        <v>21</v>
      </c>
      <c r="D68" s="25">
        <v>42416</v>
      </c>
      <c r="E68" s="23">
        <v>400</v>
      </c>
      <c r="F68" s="5" t="s">
        <v>146</v>
      </c>
      <c r="G68" s="109">
        <v>42444</v>
      </c>
      <c r="H68" s="110">
        <v>4000</v>
      </c>
      <c r="I68" s="108" t="s">
        <v>142</v>
      </c>
      <c r="J68" s="34">
        <v>42486</v>
      </c>
      <c r="K68" s="93">
        <v>21.5</v>
      </c>
      <c r="L68" s="39" t="s">
        <v>326</v>
      </c>
      <c r="M68" s="92">
        <v>42513</v>
      </c>
      <c r="N68" s="95">
        <v>142</v>
      </c>
      <c r="O68" s="6" t="s">
        <v>400</v>
      </c>
      <c r="P68" s="98">
        <v>42538</v>
      </c>
      <c r="Q68" s="67">
        <v>150</v>
      </c>
      <c r="R68" s="27" t="s">
        <v>481</v>
      </c>
      <c r="S68" s="74">
        <v>42572</v>
      </c>
      <c r="T68" s="75">
        <v>1760</v>
      </c>
      <c r="U68" s="51" t="s">
        <v>567</v>
      </c>
      <c r="V68" s="79">
        <v>42599</v>
      </c>
      <c r="W68" s="116">
        <v>1760</v>
      </c>
      <c r="X68" s="81" t="s">
        <v>669</v>
      </c>
      <c r="Y68" s="83">
        <v>42628</v>
      </c>
      <c r="Z68" s="84">
        <v>450</v>
      </c>
      <c r="AA68" s="66" t="s">
        <v>784</v>
      </c>
      <c r="AB68" s="85">
        <v>42661</v>
      </c>
      <c r="AC68" s="86">
        <v>290</v>
      </c>
      <c r="AD68" s="104" t="s">
        <v>898</v>
      </c>
      <c r="AE68" s="87">
        <v>42691</v>
      </c>
      <c r="AF68" s="88">
        <v>200</v>
      </c>
      <c r="AG68" s="58" t="s">
        <v>1013</v>
      </c>
      <c r="AH68" s="121">
        <v>42715</v>
      </c>
      <c r="AI68" s="122">
        <v>279.60000000000002</v>
      </c>
      <c r="AJ68" s="62" t="s">
        <v>1131</v>
      </c>
    </row>
    <row r="69" spans="1:36" x14ac:dyDescent="0.25">
      <c r="A69" s="9">
        <v>42394</v>
      </c>
      <c r="B69" s="91">
        <v>2750</v>
      </c>
      <c r="C69" s="7" t="s">
        <v>71</v>
      </c>
      <c r="D69" s="25">
        <v>42416</v>
      </c>
      <c r="E69" s="23">
        <v>250</v>
      </c>
      <c r="F69" s="5" t="s">
        <v>147</v>
      </c>
      <c r="G69" s="68">
        <v>42445</v>
      </c>
      <c r="H69" s="69">
        <v>500</v>
      </c>
      <c r="I69" s="70" t="s">
        <v>236</v>
      </c>
      <c r="J69" s="34">
        <v>42486</v>
      </c>
      <c r="K69" s="93">
        <v>600</v>
      </c>
      <c r="L69" s="39" t="s">
        <v>327</v>
      </c>
      <c r="M69" s="92">
        <v>42513</v>
      </c>
      <c r="N69" s="95">
        <v>65</v>
      </c>
      <c r="O69" s="6" t="s">
        <v>401</v>
      </c>
      <c r="P69" s="98">
        <v>42538</v>
      </c>
      <c r="Q69" s="67">
        <v>100</v>
      </c>
      <c r="R69" s="27" t="s">
        <v>440</v>
      </c>
      <c r="S69" s="74">
        <v>42572</v>
      </c>
      <c r="T69" s="75">
        <v>335</v>
      </c>
      <c r="U69" s="51" t="s">
        <v>569</v>
      </c>
      <c r="V69" s="79">
        <v>42599</v>
      </c>
      <c r="W69" s="80">
        <v>200</v>
      </c>
      <c r="X69" s="39" t="s">
        <v>670</v>
      </c>
      <c r="Y69" s="83">
        <v>42628</v>
      </c>
      <c r="Z69" s="84">
        <v>300</v>
      </c>
      <c r="AA69" s="66" t="s">
        <v>785</v>
      </c>
      <c r="AB69" s="85">
        <v>42662</v>
      </c>
      <c r="AC69" s="86">
        <v>100</v>
      </c>
      <c r="AD69" s="104" t="s">
        <v>899</v>
      </c>
      <c r="AE69" s="87">
        <v>42691</v>
      </c>
      <c r="AF69" s="88">
        <v>2500</v>
      </c>
      <c r="AG69" s="58" t="s">
        <v>1014</v>
      </c>
      <c r="AH69" s="121">
        <v>42716</v>
      </c>
      <c r="AI69" s="122">
        <v>400</v>
      </c>
      <c r="AJ69" s="62" t="s">
        <v>1132</v>
      </c>
    </row>
    <row r="70" spans="1:36" x14ac:dyDescent="0.25">
      <c r="A70" s="9">
        <v>42394</v>
      </c>
      <c r="B70" s="91">
        <v>500</v>
      </c>
      <c r="C70" s="7" t="s">
        <v>72</v>
      </c>
      <c r="D70" s="25">
        <v>42416</v>
      </c>
      <c r="E70" s="23">
        <v>400</v>
      </c>
      <c r="F70" s="5" t="s">
        <v>148</v>
      </c>
      <c r="G70" s="68">
        <v>42445</v>
      </c>
      <c r="H70" s="69">
        <v>251.5</v>
      </c>
      <c r="I70" s="70" t="s">
        <v>237</v>
      </c>
      <c r="J70" s="34">
        <v>42486</v>
      </c>
      <c r="K70" s="93">
        <v>350</v>
      </c>
      <c r="L70" s="39" t="s">
        <v>328</v>
      </c>
      <c r="M70" s="92">
        <v>42514</v>
      </c>
      <c r="N70" s="95">
        <v>190</v>
      </c>
      <c r="O70" s="6" t="s">
        <v>402</v>
      </c>
      <c r="P70" s="98">
        <v>42538</v>
      </c>
      <c r="Q70" s="67">
        <v>180</v>
      </c>
      <c r="R70" s="27" t="s">
        <v>244</v>
      </c>
      <c r="S70" s="74">
        <v>42572</v>
      </c>
      <c r="T70" s="75">
        <v>350</v>
      </c>
      <c r="U70" s="51" t="s">
        <v>570</v>
      </c>
      <c r="V70" s="79">
        <v>42599</v>
      </c>
      <c r="W70" s="80">
        <v>120</v>
      </c>
      <c r="X70" s="39" t="s">
        <v>671</v>
      </c>
      <c r="Y70" s="83">
        <v>42628</v>
      </c>
      <c r="Z70" s="84">
        <v>350</v>
      </c>
      <c r="AA70" s="66" t="s">
        <v>760</v>
      </c>
      <c r="AB70" s="85">
        <v>42662</v>
      </c>
      <c r="AC70" s="86">
        <v>120</v>
      </c>
      <c r="AD70" s="104" t="s">
        <v>900</v>
      </c>
      <c r="AE70" s="87">
        <v>42691</v>
      </c>
      <c r="AF70" s="88">
        <v>30</v>
      </c>
      <c r="AG70" s="58" t="s">
        <v>1015</v>
      </c>
      <c r="AH70" s="121">
        <v>42717</v>
      </c>
      <c r="AI70" s="122">
        <v>41</v>
      </c>
      <c r="AJ70" s="62" t="s">
        <v>1133</v>
      </c>
    </row>
    <row r="71" spans="1:36" x14ac:dyDescent="0.25">
      <c r="A71" s="9">
        <v>42394</v>
      </c>
      <c r="B71" s="91">
        <v>550</v>
      </c>
      <c r="C71" s="7" t="s">
        <v>73</v>
      </c>
      <c r="D71" s="25">
        <v>42417</v>
      </c>
      <c r="E71" s="23">
        <v>500</v>
      </c>
      <c r="F71" s="5" t="s">
        <v>149</v>
      </c>
      <c r="G71" s="68">
        <v>42445</v>
      </c>
      <c r="H71" s="69">
        <v>982.9</v>
      </c>
      <c r="I71" s="70" t="s">
        <v>254</v>
      </c>
      <c r="J71" s="34">
        <v>42488</v>
      </c>
      <c r="K71" s="93">
        <v>95.6</v>
      </c>
      <c r="L71" s="39" t="s">
        <v>330</v>
      </c>
      <c r="M71" s="92">
        <v>42514</v>
      </c>
      <c r="N71" s="95">
        <v>79.400000000000006</v>
      </c>
      <c r="O71" s="6" t="s">
        <v>403</v>
      </c>
      <c r="P71" s="98">
        <v>42538</v>
      </c>
      <c r="Q71" s="67">
        <v>138</v>
      </c>
      <c r="R71" s="27" t="s">
        <v>482</v>
      </c>
      <c r="S71" s="74">
        <v>42572</v>
      </c>
      <c r="T71" s="75">
        <v>300</v>
      </c>
      <c r="U71" s="51" t="s">
        <v>571</v>
      </c>
      <c r="V71" s="79">
        <v>42599</v>
      </c>
      <c r="W71" s="80">
        <v>960</v>
      </c>
      <c r="X71" s="39" t="s">
        <v>672</v>
      </c>
      <c r="Y71" s="83">
        <v>42628</v>
      </c>
      <c r="Z71" s="84">
        <v>250</v>
      </c>
      <c r="AA71" s="66" t="s">
        <v>786</v>
      </c>
      <c r="AB71" s="85">
        <v>42662</v>
      </c>
      <c r="AC71" s="86">
        <v>200</v>
      </c>
      <c r="AD71" s="104" t="s">
        <v>901</v>
      </c>
      <c r="AE71" s="87">
        <v>42691</v>
      </c>
      <c r="AF71" s="88">
        <v>50</v>
      </c>
      <c r="AG71" s="58" t="s">
        <v>1016</v>
      </c>
      <c r="AH71" s="121">
        <v>42717</v>
      </c>
      <c r="AI71" s="122">
        <v>136</v>
      </c>
      <c r="AJ71" s="62" t="s">
        <v>1134</v>
      </c>
    </row>
    <row r="72" spans="1:36" x14ac:dyDescent="0.25">
      <c r="A72" s="9">
        <v>42396</v>
      </c>
      <c r="B72" s="91">
        <v>112.8</v>
      </c>
      <c r="C72" s="7" t="s">
        <v>74</v>
      </c>
      <c r="D72" s="25">
        <v>42417</v>
      </c>
      <c r="E72" s="23">
        <v>500</v>
      </c>
      <c r="F72" s="5" t="s">
        <v>149</v>
      </c>
      <c r="G72" s="68">
        <v>42446</v>
      </c>
      <c r="H72" s="69">
        <v>1684</v>
      </c>
      <c r="I72" s="70" t="s">
        <v>238</v>
      </c>
      <c r="J72" s="34">
        <v>42488</v>
      </c>
      <c r="K72" s="93">
        <v>263.2</v>
      </c>
      <c r="L72" s="39" t="s">
        <v>331</v>
      </c>
      <c r="M72" s="92">
        <v>42514</v>
      </c>
      <c r="N72" s="95">
        <v>750</v>
      </c>
      <c r="O72" s="6" t="s">
        <v>404</v>
      </c>
      <c r="P72" s="98">
        <v>42538</v>
      </c>
      <c r="Q72" s="67">
        <v>129</v>
      </c>
      <c r="R72" s="27" t="s">
        <v>483</v>
      </c>
      <c r="S72" s="74">
        <v>42572</v>
      </c>
      <c r="T72" s="75">
        <v>1050</v>
      </c>
      <c r="U72" s="51" t="s">
        <v>572</v>
      </c>
      <c r="V72" s="79">
        <v>42599</v>
      </c>
      <c r="W72" s="80">
        <v>279.2</v>
      </c>
      <c r="X72" s="39" t="s">
        <v>673</v>
      </c>
      <c r="Y72" s="83">
        <v>42628</v>
      </c>
      <c r="Z72" s="84">
        <v>200</v>
      </c>
      <c r="AA72" s="66" t="s">
        <v>787</v>
      </c>
      <c r="AB72" s="85">
        <v>42662</v>
      </c>
      <c r="AC72" s="86">
        <v>92.5</v>
      </c>
      <c r="AD72" s="104" t="s">
        <v>902</v>
      </c>
      <c r="AE72" s="87">
        <v>42692</v>
      </c>
      <c r="AF72" s="88">
        <v>380</v>
      </c>
      <c r="AG72" s="58" t="s">
        <v>1017</v>
      </c>
      <c r="AH72" s="121">
        <v>42717</v>
      </c>
      <c r="AI72" s="122">
        <v>500</v>
      </c>
      <c r="AJ72" s="62" t="s">
        <v>1135</v>
      </c>
    </row>
    <row r="73" spans="1:36" x14ac:dyDescent="0.25">
      <c r="A73" s="9">
        <v>42397</v>
      </c>
      <c r="B73" s="91">
        <v>700</v>
      </c>
      <c r="C73" s="7" t="s">
        <v>75</v>
      </c>
      <c r="D73" s="25">
        <v>42417</v>
      </c>
      <c r="E73" s="23">
        <v>312.8</v>
      </c>
      <c r="F73" s="5" t="s">
        <v>150</v>
      </c>
      <c r="G73" s="68">
        <v>42446</v>
      </c>
      <c r="H73" s="69">
        <v>252</v>
      </c>
      <c r="I73" s="70" t="s">
        <v>239</v>
      </c>
      <c r="J73" s="34">
        <v>42488</v>
      </c>
      <c r="K73" s="93">
        <v>32</v>
      </c>
      <c r="L73" s="39" t="s">
        <v>332</v>
      </c>
      <c r="M73" s="92">
        <v>42515</v>
      </c>
      <c r="N73" s="95">
        <v>155</v>
      </c>
      <c r="O73" s="6" t="s">
        <v>405</v>
      </c>
      <c r="P73" s="98">
        <v>42538</v>
      </c>
      <c r="Q73" s="67">
        <v>125</v>
      </c>
      <c r="R73" s="27" t="s">
        <v>484</v>
      </c>
      <c r="S73" s="74">
        <v>42573</v>
      </c>
      <c r="T73" s="75">
        <v>5</v>
      </c>
      <c r="U73" s="51" t="s">
        <v>573</v>
      </c>
      <c r="V73" s="79">
        <v>42600</v>
      </c>
      <c r="W73" s="80">
        <v>287</v>
      </c>
      <c r="X73" s="39" t="s">
        <v>674</v>
      </c>
      <c r="Y73" s="83">
        <v>42628</v>
      </c>
      <c r="Z73" s="84">
        <v>2700</v>
      </c>
      <c r="AA73" s="66" t="s">
        <v>788</v>
      </c>
      <c r="AB73" s="85">
        <v>42662</v>
      </c>
      <c r="AC73" s="86">
        <v>320</v>
      </c>
      <c r="AD73" s="104" t="s">
        <v>903</v>
      </c>
      <c r="AE73" s="87">
        <v>42692</v>
      </c>
      <c r="AF73" s="88">
        <v>1000</v>
      </c>
      <c r="AG73" s="58" t="s">
        <v>1018</v>
      </c>
      <c r="AH73" s="121">
        <v>42718</v>
      </c>
      <c r="AI73" s="122">
        <v>786</v>
      </c>
      <c r="AJ73" s="62" t="s">
        <v>1145</v>
      </c>
    </row>
    <row r="74" spans="1:36" x14ac:dyDescent="0.25">
      <c r="A74" s="9">
        <v>42397</v>
      </c>
      <c r="B74" s="91">
        <v>5970</v>
      </c>
      <c r="C74" s="7" t="s">
        <v>76</v>
      </c>
      <c r="D74" s="25">
        <v>42417</v>
      </c>
      <c r="E74" s="23">
        <v>895.8</v>
      </c>
      <c r="F74" s="5" t="s">
        <v>151</v>
      </c>
      <c r="G74" s="68">
        <v>42446</v>
      </c>
      <c r="H74" s="69">
        <v>36</v>
      </c>
      <c r="I74" s="70" t="s">
        <v>240</v>
      </c>
      <c r="J74" s="34">
        <v>42488</v>
      </c>
      <c r="K74" s="93">
        <v>20</v>
      </c>
      <c r="L74" s="39" t="s">
        <v>333</v>
      </c>
      <c r="M74" s="92">
        <v>42515</v>
      </c>
      <c r="N74" s="95">
        <v>1400</v>
      </c>
      <c r="O74" s="6" t="s">
        <v>406</v>
      </c>
      <c r="P74" s="98">
        <v>42538</v>
      </c>
      <c r="Q74" s="67">
        <v>225</v>
      </c>
      <c r="R74" s="27" t="s">
        <v>431</v>
      </c>
      <c r="S74" s="74">
        <v>42573</v>
      </c>
      <c r="T74" s="75">
        <v>190</v>
      </c>
      <c r="U74" s="51" t="s">
        <v>574</v>
      </c>
      <c r="V74" s="79">
        <v>42600</v>
      </c>
      <c r="W74" s="80">
        <v>700</v>
      </c>
      <c r="X74" s="39" t="s">
        <v>675</v>
      </c>
      <c r="Y74" s="83">
        <v>42628</v>
      </c>
      <c r="Z74" s="84">
        <v>29000</v>
      </c>
      <c r="AA74" s="66" t="s">
        <v>789</v>
      </c>
      <c r="AB74" s="85">
        <v>42662</v>
      </c>
      <c r="AC74" s="86">
        <v>160</v>
      </c>
      <c r="AD74" s="104" t="s">
        <v>904</v>
      </c>
      <c r="AE74" s="87">
        <v>42692</v>
      </c>
      <c r="AF74" s="88">
        <v>500</v>
      </c>
      <c r="AG74" s="58" t="s">
        <v>1019</v>
      </c>
      <c r="AH74" s="121">
        <v>42718</v>
      </c>
      <c r="AI74" s="122">
        <v>117</v>
      </c>
      <c r="AJ74" s="62" t="s">
        <v>1136</v>
      </c>
    </row>
    <row r="75" spans="1:36" x14ac:dyDescent="0.25">
      <c r="A75" s="9">
        <v>42398</v>
      </c>
      <c r="B75" s="91">
        <v>41</v>
      </c>
      <c r="C75" s="7" t="s">
        <v>77</v>
      </c>
      <c r="D75" s="25">
        <v>42418</v>
      </c>
      <c r="E75" s="23">
        <v>273</v>
      </c>
      <c r="F75" s="5" t="s">
        <v>152</v>
      </c>
      <c r="G75" s="68">
        <v>42446</v>
      </c>
      <c r="H75" s="69">
        <v>80</v>
      </c>
      <c r="I75" s="70" t="s">
        <v>241</v>
      </c>
      <c r="J75" s="34">
        <v>42488</v>
      </c>
      <c r="K75" s="93">
        <v>400</v>
      </c>
      <c r="L75" s="39" t="s">
        <v>334</v>
      </c>
      <c r="M75" s="92">
        <v>42516</v>
      </c>
      <c r="N75" s="95">
        <v>600</v>
      </c>
      <c r="O75" s="6" t="s">
        <v>407</v>
      </c>
      <c r="P75" s="98">
        <v>42538</v>
      </c>
      <c r="Q75" s="67">
        <v>1139.7</v>
      </c>
      <c r="R75" s="27" t="s">
        <v>485</v>
      </c>
      <c r="S75" s="74">
        <v>42573</v>
      </c>
      <c r="T75" s="75">
        <v>78</v>
      </c>
      <c r="U75" s="51" t="s">
        <v>244</v>
      </c>
      <c r="V75" s="79">
        <v>42600</v>
      </c>
      <c r="W75" s="80">
        <v>700</v>
      </c>
      <c r="X75" s="39" t="s">
        <v>676</v>
      </c>
      <c r="Y75" s="83">
        <v>42628</v>
      </c>
      <c r="Z75" s="84">
        <v>4000</v>
      </c>
      <c r="AA75" s="66" t="s">
        <v>790</v>
      </c>
      <c r="AB75" s="85">
        <v>42663</v>
      </c>
      <c r="AC75" s="86">
        <v>345</v>
      </c>
      <c r="AD75" s="104" t="s">
        <v>905</v>
      </c>
      <c r="AE75" s="87">
        <v>42692</v>
      </c>
      <c r="AF75" s="88">
        <v>350</v>
      </c>
      <c r="AG75" s="58" t="s">
        <v>1020</v>
      </c>
      <c r="AH75" s="121">
        <v>42719</v>
      </c>
      <c r="AI75" s="122">
        <v>350</v>
      </c>
      <c r="AJ75" s="62" t="s">
        <v>1146</v>
      </c>
    </row>
    <row r="76" spans="1:36" x14ac:dyDescent="0.25">
      <c r="A76" s="9">
        <v>42398</v>
      </c>
      <c r="B76" s="91">
        <v>500</v>
      </c>
      <c r="C76" s="7" t="s">
        <v>78</v>
      </c>
      <c r="D76" s="25">
        <v>42418</v>
      </c>
      <c r="E76" s="23">
        <v>40</v>
      </c>
      <c r="F76" s="5" t="s">
        <v>153</v>
      </c>
      <c r="G76" s="68">
        <v>42447</v>
      </c>
      <c r="H76" s="69">
        <v>3647.01</v>
      </c>
      <c r="I76" s="70" t="s">
        <v>242</v>
      </c>
      <c r="J76" s="34">
        <v>42488</v>
      </c>
      <c r="K76" s="93">
        <v>140</v>
      </c>
      <c r="L76" s="39" t="s">
        <v>335</v>
      </c>
      <c r="M76" s="92">
        <v>42516</v>
      </c>
      <c r="N76" s="95">
        <v>300</v>
      </c>
      <c r="O76" s="6" t="s">
        <v>408</v>
      </c>
      <c r="P76" s="98">
        <v>42538</v>
      </c>
      <c r="Q76" s="67">
        <v>300</v>
      </c>
      <c r="R76" s="27" t="s">
        <v>486</v>
      </c>
      <c r="S76" s="74">
        <v>42573</v>
      </c>
      <c r="T76" s="75">
        <v>130</v>
      </c>
      <c r="U76" s="51" t="s">
        <v>575</v>
      </c>
      <c r="V76" s="79">
        <v>42601</v>
      </c>
      <c r="W76" s="80">
        <v>200</v>
      </c>
      <c r="X76" s="39" t="s">
        <v>677</v>
      </c>
      <c r="Y76" s="83">
        <v>42629</v>
      </c>
      <c r="Z76" s="84">
        <v>1000</v>
      </c>
      <c r="AA76" s="66" t="s">
        <v>791</v>
      </c>
      <c r="AB76" s="85">
        <v>42663</v>
      </c>
      <c r="AC76" s="86">
        <v>1224</v>
      </c>
      <c r="AD76" s="104" t="s">
        <v>906</v>
      </c>
      <c r="AE76" s="87">
        <v>42692</v>
      </c>
      <c r="AF76" s="88">
        <v>300</v>
      </c>
      <c r="AG76" s="58" t="s">
        <v>1021</v>
      </c>
      <c r="AH76" s="121">
        <v>42719</v>
      </c>
      <c r="AI76" s="122">
        <v>450</v>
      </c>
      <c r="AJ76" s="62" t="s">
        <v>1137</v>
      </c>
    </row>
    <row r="77" spans="1:36" x14ac:dyDescent="0.25">
      <c r="A77" s="9">
        <v>42398</v>
      </c>
      <c r="B77" s="91">
        <v>5</v>
      </c>
      <c r="C77" s="7" t="s">
        <v>80</v>
      </c>
      <c r="D77" s="25">
        <v>42418</v>
      </c>
      <c r="E77" s="23">
        <v>300</v>
      </c>
      <c r="F77" s="5" t="s">
        <v>154</v>
      </c>
      <c r="G77" s="68">
        <v>42447</v>
      </c>
      <c r="H77" s="69">
        <v>500</v>
      </c>
      <c r="I77" s="70" t="s">
        <v>243</v>
      </c>
      <c r="J77" s="34">
        <v>42488</v>
      </c>
      <c r="K77" s="93">
        <v>500</v>
      </c>
      <c r="L77" s="39" t="s">
        <v>336</v>
      </c>
      <c r="M77" s="92">
        <v>42517</v>
      </c>
      <c r="N77" s="95">
        <v>1000</v>
      </c>
      <c r="O77" s="6" t="s">
        <v>390</v>
      </c>
      <c r="P77" s="98">
        <v>42539</v>
      </c>
      <c r="Q77" s="67">
        <v>1000</v>
      </c>
      <c r="R77" s="27" t="s">
        <v>487</v>
      </c>
      <c r="S77" s="74">
        <v>42573</v>
      </c>
      <c r="T77" s="75">
        <v>130</v>
      </c>
      <c r="U77" s="51" t="s">
        <v>576</v>
      </c>
      <c r="V77" s="79">
        <v>42601</v>
      </c>
      <c r="W77" s="80">
        <v>950</v>
      </c>
      <c r="X77" s="39" t="s">
        <v>678</v>
      </c>
      <c r="Y77" s="83">
        <v>42629</v>
      </c>
      <c r="Z77" s="84">
        <v>500</v>
      </c>
      <c r="AA77" s="66" t="s">
        <v>792</v>
      </c>
      <c r="AB77" s="85">
        <v>42663</v>
      </c>
      <c r="AC77" s="86">
        <v>1760</v>
      </c>
      <c r="AD77" s="104" t="s">
        <v>907</v>
      </c>
      <c r="AE77" s="87">
        <v>42692</v>
      </c>
      <c r="AF77" s="88">
        <v>649</v>
      </c>
      <c r="AG77" s="58" t="s">
        <v>1022</v>
      </c>
      <c r="AH77" s="121">
        <v>42719</v>
      </c>
      <c r="AI77" s="122">
        <v>450</v>
      </c>
      <c r="AJ77" s="62" t="s">
        <v>1138</v>
      </c>
    </row>
    <row r="78" spans="1:36" x14ac:dyDescent="0.25">
      <c r="A78" s="9">
        <v>42398</v>
      </c>
      <c r="B78" s="91">
        <v>108.8</v>
      </c>
      <c r="C78" s="7" t="s">
        <v>79</v>
      </c>
      <c r="D78" s="25">
        <v>42418</v>
      </c>
      <c r="E78" s="23">
        <v>150</v>
      </c>
      <c r="F78" s="5" t="s">
        <v>67</v>
      </c>
      <c r="G78" s="68">
        <v>42447</v>
      </c>
      <c r="H78" s="69">
        <v>76</v>
      </c>
      <c r="I78" s="70" t="s">
        <v>244</v>
      </c>
      <c r="J78" s="34">
        <v>42489</v>
      </c>
      <c r="K78" s="93">
        <v>1000</v>
      </c>
      <c r="L78" s="39" t="s">
        <v>337</v>
      </c>
      <c r="M78" s="92">
        <v>42517</v>
      </c>
      <c r="N78" s="95">
        <v>142</v>
      </c>
      <c r="O78" s="6" t="s">
        <v>409</v>
      </c>
      <c r="P78" s="98">
        <v>42539</v>
      </c>
      <c r="Q78" s="67">
        <v>350</v>
      </c>
      <c r="R78" s="27" t="s">
        <v>488</v>
      </c>
      <c r="S78" s="74">
        <v>42573</v>
      </c>
      <c r="T78" s="75">
        <v>420</v>
      </c>
      <c r="U78" s="51" t="s">
        <v>577</v>
      </c>
      <c r="V78" s="79">
        <v>42601</v>
      </c>
      <c r="W78" s="80">
        <v>1000</v>
      </c>
      <c r="X78" s="39" t="s">
        <v>679</v>
      </c>
      <c r="Y78" s="83">
        <v>42631</v>
      </c>
      <c r="Z78" s="84">
        <v>120</v>
      </c>
      <c r="AA78" s="66" t="s">
        <v>793</v>
      </c>
      <c r="AB78" s="85">
        <v>42664</v>
      </c>
      <c r="AC78" s="86">
        <v>266.85000000000002</v>
      </c>
      <c r="AD78" s="104" t="s">
        <v>908</v>
      </c>
      <c r="AE78" s="87">
        <v>42692</v>
      </c>
      <c r="AF78" s="88">
        <v>279.60000000000002</v>
      </c>
      <c r="AG78" s="58" t="s">
        <v>1002</v>
      </c>
      <c r="AH78" s="121">
        <v>42719</v>
      </c>
      <c r="AI78" s="122">
        <v>200</v>
      </c>
      <c r="AJ78" s="62" t="s">
        <v>1139</v>
      </c>
    </row>
    <row r="79" spans="1:36" x14ac:dyDescent="0.25">
      <c r="A79" s="9">
        <v>42398</v>
      </c>
      <c r="B79" s="91">
        <v>350</v>
      </c>
      <c r="C79" s="7" t="s">
        <v>81</v>
      </c>
      <c r="D79" s="25">
        <v>42419</v>
      </c>
      <c r="E79" s="23">
        <v>100</v>
      </c>
      <c r="F79" s="5" t="s">
        <v>160</v>
      </c>
      <c r="G79" s="68">
        <v>42447</v>
      </c>
      <c r="H79" s="69">
        <v>200</v>
      </c>
      <c r="I79" s="70" t="s">
        <v>245</v>
      </c>
      <c r="J79" s="34">
        <v>42489</v>
      </c>
      <c r="K79" s="93">
        <v>175</v>
      </c>
      <c r="L79" s="39" t="s">
        <v>250</v>
      </c>
      <c r="M79" s="92">
        <v>42517</v>
      </c>
      <c r="N79" s="95">
        <v>120</v>
      </c>
      <c r="O79" s="6" t="s">
        <v>410</v>
      </c>
      <c r="P79" s="98">
        <v>42539</v>
      </c>
      <c r="Q79" s="67">
        <v>71.099999999999994</v>
      </c>
      <c r="R79" s="27" t="s">
        <v>489</v>
      </c>
      <c r="S79" s="74">
        <v>42573</v>
      </c>
      <c r="T79" s="75">
        <v>1000</v>
      </c>
      <c r="U79" s="51" t="s">
        <v>578</v>
      </c>
      <c r="V79" s="79">
        <v>42601</v>
      </c>
      <c r="W79" s="80">
        <v>1264</v>
      </c>
      <c r="X79" s="39" t="s">
        <v>680</v>
      </c>
      <c r="Y79" s="83">
        <v>42631</v>
      </c>
      <c r="Z79" s="84">
        <v>107</v>
      </c>
      <c r="AA79" s="66" t="s">
        <v>794</v>
      </c>
      <c r="AB79" s="85">
        <v>42664</v>
      </c>
      <c r="AC79" s="86">
        <v>100</v>
      </c>
      <c r="AD79" s="104" t="s">
        <v>909</v>
      </c>
      <c r="AE79" s="87">
        <v>42692</v>
      </c>
      <c r="AF79" s="88">
        <v>28</v>
      </c>
      <c r="AG79" s="58" t="s">
        <v>1037</v>
      </c>
      <c r="AH79" s="121">
        <v>42719</v>
      </c>
      <c r="AI79" s="122">
        <v>200</v>
      </c>
      <c r="AJ79" s="62" t="s">
        <v>1140</v>
      </c>
    </row>
    <row r="80" spans="1:36" x14ac:dyDescent="0.25">
      <c r="A80" s="9">
        <v>42398</v>
      </c>
      <c r="B80" s="91">
        <v>1000</v>
      </c>
      <c r="C80" s="7" t="s">
        <v>17</v>
      </c>
      <c r="D80" s="25">
        <v>42419</v>
      </c>
      <c r="E80" s="23">
        <v>350</v>
      </c>
      <c r="F80" s="5" t="s">
        <v>161</v>
      </c>
      <c r="G80" s="68">
        <v>42447</v>
      </c>
      <c r="H80" s="69">
        <v>1000</v>
      </c>
      <c r="I80" s="70" t="s">
        <v>246</v>
      </c>
      <c r="J80" s="34">
        <v>42490</v>
      </c>
      <c r="K80" s="93">
        <v>100</v>
      </c>
      <c r="L80" s="39" t="s">
        <v>338</v>
      </c>
      <c r="M80" s="92">
        <v>42518</v>
      </c>
      <c r="N80" s="95">
        <v>300</v>
      </c>
      <c r="O80" s="6" t="s">
        <v>411</v>
      </c>
      <c r="P80" s="98">
        <v>42539</v>
      </c>
      <c r="Q80" s="67">
        <v>60</v>
      </c>
      <c r="R80" s="27" t="s">
        <v>490</v>
      </c>
      <c r="S80" s="74">
        <v>42573</v>
      </c>
      <c r="T80" s="75">
        <v>135</v>
      </c>
      <c r="U80" s="51" t="s">
        <v>579</v>
      </c>
      <c r="V80" s="79">
        <v>42601</v>
      </c>
      <c r="W80" s="80">
        <v>500</v>
      </c>
      <c r="X80" s="39" t="s">
        <v>681</v>
      </c>
      <c r="Y80" s="83">
        <v>42631</v>
      </c>
      <c r="Z80" s="84">
        <v>2880</v>
      </c>
      <c r="AA80" s="66" t="s">
        <v>795</v>
      </c>
      <c r="AB80" s="85">
        <v>42664</v>
      </c>
      <c r="AC80" s="86">
        <v>1000</v>
      </c>
      <c r="AD80" s="104" t="s">
        <v>910</v>
      </c>
      <c r="AE80" s="87">
        <v>42693</v>
      </c>
      <c r="AF80" s="88">
        <v>300</v>
      </c>
      <c r="AG80" s="58" t="s">
        <v>1023</v>
      </c>
      <c r="AH80" s="121">
        <v>42719</v>
      </c>
      <c r="AI80" s="122">
        <v>173.9</v>
      </c>
      <c r="AJ80" s="62" t="s">
        <v>1141</v>
      </c>
    </row>
    <row r="81" spans="1:36" x14ac:dyDescent="0.25">
      <c r="A81" s="9">
        <v>42398</v>
      </c>
      <c r="B81" s="91">
        <v>500</v>
      </c>
      <c r="C81" s="7" t="s">
        <v>82</v>
      </c>
      <c r="D81" s="25">
        <v>42419</v>
      </c>
      <c r="E81" s="23">
        <v>350</v>
      </c>
      <c r="F81" s="5" t="s">
        <v>162</v>
      </c>
      <c r="G81" s="68">
        <v>42448</v>
      </c>
      <c r="H81" s="69">
        <v>197.4</v>
      </c>
      <c r="I81" s="70" t="s">
        <v>247</v>
      </c>
      <c r="J81" s="34">
        <v>42490</v>
      </c>
      <c r="K81" s="93">
        <v>450</v>
      </c>
      <c r="L81" s="39" t="s">
        <v>339</v>
      </c>
      <c r="M81" s="92">
        <v>42518</v>
      </c>
      <c r="N81" s="95">
        <v>200</v>
      </c>
      <c r="O81" s="6" t="s">
        <v>412</v>
      </c>
      <c r="P81" s="98">
        <v>42539</v>
      </c>
      <c r="Q81" s="67">
        <v>300</v>
      </c>
      <c r="R81" s="27" t="s">
        <v>491</v>
      </c>
      <c r="S81" s="74">
        <v>42573</v>
      </c>
      <c r="T81" s="75">
        <v>1200</v>
      </c>
      <c r="U81" s="51" t="s">
        <v>580</v>
      </c>
      <c r="V81" s="79">
        <v>42601</v>
      </c>
      <c r="W81" s="80">
        <v>270</v>
      </c>
      <c r="X81" s="39" t="s">
        <v>682</v>
      </c>
      <c r="Y81" s="83">
        <v>42631</v>
      </c>
      <c r="Z81" s="84">
        <v>3600</v>
      </c>
      <c r="AA81" s="66" t="s">
        <v>796</v>
      </c>
      <c r="AB81" s="85">
        <v>42665</v>
      </c>
      <c r="AC81" s="86">
        <v>10</v>
      </c>
      <c r="AD81" s="104" t="s">
        <v>911</v>
      </c>
      <c r="AE81" s="87">
        <v>42693</v>
      </c>
      <c r="AF81" s="88">
        <v>50</v>
      </c>
      <c r="AG81" s="58" t="s">
        <v>1024</v>
      </c>
      <c r="AH81" s="121">
        <v>42719</v>
      </c>
      <c r="AI81" s="122">
        <v>200</v>
      </c>
      <c r="AJ81" s="62" t="s">
        <v>1142</v>
      </c>
    </row>
    <row r="82" spans="1:36" x14ac:dyDescent="0.25">
      <c r="A82" s="9">
        <v>42398</v>
      </c>
      <c r="B82" s="91">
        <v>110</v>
      </c>
      <c r="C82" s="7" t="s">
        <v>21</v>
      </c>
      <c r="D82" s="25">
        <v>42419</v>
      </c>
      <c r="E82" s="23">
        <v>1500</v>
      </c>
      <c r="F82" s="5" t="s">
        <v>163</v>
      </c>
      <c r="G82" s="68">
        <v>42449</v>
      </c>
      <c r="H82" s="69">
        <v>80.5</v>
      </c>
      <c r="I82" s="70" t="s">
        <v>248</v>
      </c>
      <c r="J82" s="34">
        <v>42490</v>
      </c>
      <c r="K82" s="93">
        <v>650</v>
      </c>
      <c r="L82" s="39" t="s">
        <v>340</v>
      </c>
      <c r="M82" s="92">
        <v>42519</v>
      </c>
      <c r="N82" s="95">
        <v>70</v>
      </c>
      <c r="O82" s="6" t="s">
        <v>364</v>
      </c>
      <c r="P82" s="98">
        <v>42540</v>
      </c>
      <c r="Q82" s="67">
        <v>150</v>
      </c>
      <c r="R82" s="27" t="s">
        <v>492</v>
      </c>
      <c r="S82" s="74">
        <v>42573</v>
      </c>
      <c r="T82" s="75">
        <v>300</v>
      </c>
      <c r="U82" s="51" t="s">
        <v>581</v>
      </c>
      <c r="V82" s="79">
        <v>42602</v>
      </c>
      <c r="W82" s="80">
        <v>279.2</v>
      </c>
      <c r="X82" s="39" t="s">
        <v>683</v>
      </c>
      <c r="Y82" s="83">
        <v>42631</v>
      </c>
      <c r="Z82" s="84">
        <v>100</v>
      </c>
      <c r="AA82" s="66" t="s">
        <v>798</v>
      </c>
      <c r="AB82" s="85">
        <v>42665</v>
      </c>
      <c r="AC82" s="86">
        <v>700</v>
      </c>
      <c r="AD82" s="104" t="s">
        <v>912</v>
      </c>
      <c r="AE82" s="87">
        <v>42694</v>
      </c>
      <c r="AF82" s="88">
        <v>150</v>
      </c>
      <c r="AG82" s="58" t="s">
        <v>1025</v>
      </c>
      <c r="AH82" s="121">
        <v>42719</v>
      </c>
      <c r="AI82" s="122">
        <v>14500</v>
      </c>
      <c r="AJ82" s="62" t="s">
        <v>1143</v>
      </c>
    </row>
    <row r="83" spans="1:36" x14ac:dyDescent="0.25">
      <c r="A83" s="9">
        <v>42398</v>
      </c>
      <c r="B83" s="91">
        <v>680</v>
      </c>
      <c r="C83" s="7" t="s">
        <v>83</v>
      </c>
      <c r="D83" s="25">
        <v>42419</v>
      </c>
      <c r="E83" s="23">
        <v>110</v>
      </c>
      <c r="F83" s="5" t="s">
        <v>115</v>
      </c>
      <c r="G83" s="68">
        <v>42449</v>
      </c>
      <c r="H83" s="69">
        <v>100</v>
      </c>
      <c r="I83" s="70" t="s">
        <v>249</v>
      </c>
      <c r="J83" s="34">
        <v>42490</v>
      </c>
      <c r="K83" s="93">
        <v>100</v>
      </c>
      <c r="L83" s="39" t="s">
        <v>341</v>
      </c>
      <c r="M83" s="92">
        <v>42519</v>
      </c>
      <c r="N83" s="95">
        <v>100</v>
      </c>
      <c r="O83" s="6" t="s">
        <v>365</v>
      </c>
      <c r="P83" s="98">
        <v>42541</v>
      </c>
      <c r="Q83" s="67">
        <v>183.4</v>
      </c>
      <c r="R83" s="27" t="s">
        <v>493</v>
      </c>
      <c r="S83" s="74">
        <v>42574</v>
      </c>
      <c r="T83" s="75">
        <v>140</v>
      </c>
      <c r="U83" s="99" t="s">
        <v>582</v>
      </c>
      <c r="V83" s="79">
        <v>42603</v>
      </c>
      <c r="W83" s="80">
        <v>81.5</v>
      </c>
      <c r="X83" s="39" t="s">
        <v>555</v>
      </c>
      <c r="Y83" s="117">
        <v>42632</v>
      </c>
      <c r="Z83" s="102">
        <v>400</v>
      </c>
      <c r="AA83" s="66" t="s">
        <v>797</v>
      </c>
      <c r="AB83" s="85">
        <v>42665</v>
      </c>
      <c r="AC83" s="86">
        <v>250</v>
      </c>
      <c r="AD83" s="104" t="s">
        <v>913</v>
      </c>
      <c r="AE83" s="87">
        <v>42694</v>
      </c>
      <c r="AF83" s="88">
        <v>1598.01</v>
      </c>
      <c r="AG83" s="58" t="s">
        <v>1026</v>
      </c>
      <c r="AH83" s="121">
        <v>42719</v>
      </c>
      <c r="AI83" s="122">
        <v>14500</v>
      </c>
      <c r="AJ83" s="62" t="s">
        <v>1147</v>
      </c>
    </row>
    <row r="84" spans="1:36" x14ac:dyDescent="0.25">
      <c r="A84" s="9">
        <v>42398</v>
      </c>
      <c r="B84" s="91">
        <v>250</v>
      </c>
      <c r="C84" s="7" t="s">
        <v>84</v>
      </c>
      <c r="D84" s="25">
        <v>43515</v>
      </c>
      <c r="E84" s="23">
        <v>1000</v>
      </c>
      <c r="F84" s="5" t="s">
        <v>17</v>
      </c>
      <c r="G84" s="68">
        <v>42450</v>
      </c>
      <c r="H84" s="69">
        <v>175</v>
      </c>
      <c r="I84" s="68" t="s">
        <v>250</v>
      </c>
      <c r="J84" s="34">
        <v>42490</v>
      </c>
      <c r="K84" s="93">
        <v>200</v>
      </c>
      <c r="L84" s="39" t="s">
        <v>342</v>
      </c>
      <c r="M84" s="92">
        <v>42520</v>
      </c>
      <c r="N84" s="95">
        <v>500</v>
      </c>
      <c r="O84" s="6" t="s">
        <v>397</v>
      </c>
      <c r="P84" s="98">
        <v>42541</v>
      </c>
      <c r="Q84" s="67">
        <v>1500</v>
      </c>
      <c r="R84" s="27" t="s">
        <v>494</v>
      </c>
      <c r="S84" s="74">
        <v>42574</v>
      </c>
      <c r="T84" s="75">
        <v>500</v>
      </c>
      <c r="U84" s="51" t="s">
        <v>583</v>
      </c>
      <c r="V84" s="79">
        <v>42603</v>
      </c>
      <c r="W84" s="80">
        <v>89</v>
      </c>
      <c r="X84" s="39" t="s">
        <v>684</v>
      </c>
      <c r="Y84" s="117">
        <v>42632</v>
      </c>
      <c r="Z84" s="102">
        <v>110</v>
      </c>
      <c r="AA84" s="66" t="s">
        <v>799</v>
      </c>
      <c r="AB84" s="85">
        <v>42665</v>
      </c>
      <c r="AC84" s="86">
        <v>397</v>
      </c>
      <c r="AD84" s="104" t="s">
        <v>914</v>
      </c>
      <c r="AE84" s="87">
        <v>42694</v>
      </c>
      <c r="AF84" s="88">
        <v>92.5</v>
      </c>
      <c r="AG84" s="58" t="s">
        <v>975</v>
      </c>
      <c r="AH84" s="121">
        <v>42719</v>
      </c>
      <c r="AI84" s="122">
        <v>4000</v>
      </c>
      <c r="AJ84" s="62" t="s">
        <v>1144</v>
      </c>
    </row>
    <row r="85" spans="1:36" x14ac:dyDescent="0.25">
      <c r="A85" s="9">
        <v>42398</v>
      </c>
      <c r="B85" s="91">
        <v>100</v>
      </c>
      <c r="C85" s="7" t="s">
        <v>84</v>
      </c>
      <c r="D85" s="25">
        <v>43515</v>
      </c>
      <c r="E85" s="23">
        <v>400</v>
      </c>
      <c r="F85" s="5" t="s">
        <v>164</v>
      </c>
      <c r="G85" s="68">
        <v>42450</v>
      </c>
      <c r="H85" s="69">
        <v>299.8</v>
      </c>
      <c r="I85" s="70" t="s">
        <v>251</v>
      </c>
      <c r="J85" s="34">
        <v>42490</v>
      </c>
      <c r="K85" s="93">
        <v>350</v>
      </c>
      <c r="L85" s="39" t="s">
        <v>344</v>
      </c>
      <c r="M85" s="92">
        <v>42520</v>
      </c>
      <c r="N85" s="95">
        <v>100</v>
      </c>
      <c r="O85" s="6" t="s">
        <v>413</v>
      </c>
      <c r="P85" s="98">
        <v>42541</v>
      </c>
      <c r="Q85" s="67">
        <v>1600</v>
      </c>
      <c r="R85" s="27" t="s">
        <v>495</v>
      </c>
      <c r="S85" s="74">
        <v>42575</v>
      </c>
      <c r="T85" s="75">
        <v>108</v>
      </c>
      <c r="U85" s="51" t="s">
        <v>584</v>
      </c>
      <c r="V85" s="79">
        <v>42603</v>
      </c>
      <c r="W85" s="80">
        <v>120</v>
      </c>
      <c r="X85" s="39" t="s">
        <v>658</v>
      </c>
      <c r="Y85" s="117">
        <v>42632</v>
      </c>
      <c r="Z85" s="102">
        <v>42</v>
      </c>
      <c r="AA85" s="66" t="s">
        <v>800</v>
      </c>
      <c r="AB85" s="85">
        <v>42665</v>
      </c>
      <c r="AC85" s="86">
        <v>350</v>
      </c>
      <c r="AD85" s="104" t="s">
        <v>915</v>
      </c>
      <c r="AE85" s="87">
        <v>42694</v>
      </c>
      <c r="AF85" s="88">
        <v>120</v>
      </c>
      <c r="AG85" s="58" t="s">
        <v>1027</v>
      </c>
      <c r="AH85" s="121">
        <v>42719</v>
      </c>
      <c r="AI85" s="122">
        <v>450</v>
      </c>
      <c r="AJ85" s="62" t="s">
        <v>1148</v>
      </c>
    </row>
    <row r="86" spans="1:36" x14ac:dyDescent="0.25">
      <c r="A86" s="9">
        <v>42399</v>
      </c>
      <c r="B86" s="91">
        <v>160</v>
      </c>
      <c r="C86" s="7" t="s">
        <v>85</v>
      </c>
      <c r="D86" s="25">
        <v>43515</v>
      </c>
      <c r="E86" s="23">
        <v>488.79</v>
      </c>
      <c r="F86" s="5" t="s">
        <v>133</v>
      </c>
      <c r="G86" s="68">
        <v>42450</v>
      </c>
      <c r="H86" s="69">
        <v>1600</v>
      </c>
      <c r="I86" s="70" t="s">
        <v>252</v>
      </c>
      <c r="J86" s="34" t="s">
        <v>345</v>
      </c>
      <c r="K86" s="111">
        <v>2700</v>
      </c>
      <c r="L86" s="112" t="s">
        <v>347</v>
      </c>
      <c r="M86" s="92">
        <v>42520</v>
      </c>
      <c r="N86" s="95">
        <v>178</v>
      </c>
      <c r="O86" s="6" t="s">
        <v>405</v>
      </c>
      <c r="P86" s="98">
        <v>42542</v>
      </c>
      <c r="Q86" s="67">
        <v>400</v>
      </c>
      <c r="R86" s="27" t="s">
        <v>496</v>
      </c>
      <c r="S86" s="74">
        <v>42575</v>
      </c>
      <c r="T86" s="75">
        <v>49</v>
      </c>
      <c r="U86" s="51" t="s">
        <v>585</v>
      </c>
      <c r="V86" s="79">
        <v>42603</v>
      </c>
      <c r="W86" s="80">
        <v>400</v>
      </c>
      <c r="X86" s="39" t="s">
        <v>685</v>
      </c>
      <c r="Y86" s="117">
        <v>42632</v>
      </c>
      <c r="Z86" s="102">
        <v>349.5</v>
      </c>
      <c r="AA86" s="66" t="s">
        <v>801</v>
      </c>
      <c r="AB86" s="85">
        <v>42665</v>
      </c>
      <c r="AC86" s="86">
        <v>50</v>
      </c>
      <c r="AD86" s="104" t="s">
        <v>916</v>
      </c>
      <c r="AE86" s="87">
        <v>42694</v>
      </c>
      <c r="AF86" s="88">
        <v>150</v>
      </c>
      <c r="AG86" s="58" t="s">
        <v>1028</v>
      </c>
      <c r="AH86" s="121">
        <v>42720</v>
      </c>
      <c r="AI86" s="122">
        <v>1000</v>
      </c>
      <c r="AJ86" s="62" t="s">
        <v>1149</v>
      </c>
    </row>
    <row r="87" spans="1:36" x14ac:dyDescent="0.25">
      <c r="A87" s="9">
        <v>42399</v>
      </c>
      <c r="B87" s="91">
        <v>35</v>
      </c>
      <c r="C87" s="7" t="s">
        <v>86</v>
      </c>
      <c r="D87" s="25">
        <v>43515</v>
      </c>
      <c r="E87" s="23">
        <v>20</v>
      </c>
      <c r="F87" s="5" t="s">
        <v>134</v>
      </c>
      <c r="G87" s="68">
        <v>42451</v>
      </c>
      <c r="H87" s="69">
        <v>400</v>
      </c>
      <c r="I87" s="70" t="s">
        <v>253</v>
      </c>
      <c r="J87" s="34" t="s">
        <v>345</v>
      </c>
      <c r="K87" s="111">
        <v>20000</v>
      </c>
      <c r="L87" s="112" t="s">
        <v>346</v>
      </c>
      <c r="M87" s="92">
        <v>42520</v>
      </c>
      <c r="N87" s="95">
        <v>30</v>
      </c>
      <c r="O87" s="6" t="s">
        <v>405</v>
      </c>
      <c r="P87" s="98">
        <v>42545</v>
      </c>
      <c r="Q87" s="67">
        <v>1600</v>
      </c>
      <c r="R87" s="27" t="s">
        <v>497</v>
      </c>
      <c r="S87" s="74">
        <v>42575</v>
      </c>
      <c r="T87" s="75">
        <v>24</v>
      </c>
      <c r="U87" s="51" t="s">
        <v>586</v>
      </c>
      <c r="V87" s="79">
        <v>42603</v>
      </c>
      <c r="W87" s="80">
        <v>150</v>
      </c>
      <c r="X87" s="39" t="s">
        <v>686</v>
      </c>
      <c r="Y87" s="117">
        <v>42632</v>
      </c>
      <c r="Z87" s="102">
        <v>330</v>
      </c>
      <c r="AA87" s="66" t="s">
        <v>802</v>
      </c>
      <c r="AB87" s="85">
        <v>42665</v>
      </c>
      <c r="AC87" s="86">
        <v>150</v>
      </c>
      <c r="AD87" s="104" t="s">
        <v>927</v>
      </c>
      <c r="AE87" s="87">
        <v>42695</v>
      </c>
      <c r="AF87" s="88">
        <v>92</v>
      </c>
      <c r="AG87" s="58" t="s">
        <v>1029</v>
      </c>
      <c r="AH87" s="121">
        <v>42720</v>
      </c>
      <c r="AI87" s="122">
        <v>200</v>
      </c>
      <c r="AJ87" s="62" t="s">
        <v>1150</v>
      </c>
    </row>
    <row r="88" spans="1:36" x14ac:dyDescent="0.25">
      <c r="A88" s="9">
        <v>42399</v>
      </c>
      <c r="B88" s="91">
        <v>400</v>
      </c>
      <c r="C88" s="7" t="s">
        <v>84</v>
      </c>
      <c r="D88" s="25">
        <v>43516</v>
      </c>
      <c r="E88" s="23">
        <v>263.2</v>
      </c>
      <c r="F88" s="5" t="s">
        <v>125</v>
      </c>
      <c r="G88" s="68">
        <v>42452</v>
      </c>
      <c r="H88" s="69">
        <v>600</v>
      </c>
      <c r="I88" s="70" t="s">
        <v>255</v>
      </c>
      <c r="J88" s="34" t="s">
        <v>345</v>
      </c>
      <c r="K88" s="111">
        <v>4000</v>
      </c>
      <c r="L88" s="112" t="s">
        <v>348</v>
      </c>
      <c r="M88" s="92">
        <v>42520</v>
      </c>
      <c r="N88" s="95">
        <v>350</v>
      </c>
      <c r="O88" s="6" t="s">
        <v>414</v>
      </c>
      <c r="P88" s="98">
        <v>42545</v>
      </c>
      <c r="Q88" s="67">
        <v>1600</v>
      </c>
      <c r="R88" s="27" t="s">
        <v>498</v>
      </c>
      <c r="S88" s="74">
        <v>42575</v>
      </c>
      <c r="T88" s="75">
        <v>120</v>
      </c>
      <c r="U88" s="51" t="s">
        <v>537</v>
      </c>
      <c r="V88" s="79">
        <v>42603</v>
      </c>
      <c r="W88" s="80">
        <v>150</v>
      </c>
      <c r="X88" s="39" t="s">
        <v>687</v>
      </c>
      <c r="Y88" s="117">
        <v>42632</v>
      </c>
      <c r="Z88" s="102">
        <v>43</v>
      </c>
      <c r="AA88" s="66" t="s">
        <v>803</v>
      </c>
      <c r="AB88" s="85">
        <v>42666</v>
      </c>
      <c r="AC88" s="86">
        <v>120</v>
      </c>
      <c r="AD88" s="104" t="s">
        <v>889</v>
      </c>
      <c r="AE88" s="87">
        <v>42695</v>
      </c>
      <c r="AF88" s="88">
        <v>340</v>
      </c>
      <c r="AG88" s="58" t="s">
        <v>802</v>
      </c>
      <c r="AH88" s="121">
        <v>42720</v>
      </c>
      <c r="AI88" s="122">
        <v>1000</v>
      </c>
      <c r="AJ88" s="62" t="s">
        <v>1151</v>
      </c>
    </row>
    <row r="89" spans="1:36" x14ac:dyDescent="0.25">
      <c r="A89" s="9">
        <v>42399</v>
      </c>
      <c r="B89" s="91">
        <v>500</v>
      </c>
      <c r="C89" s="7" t="s">
        <v>87</v>
      </c>
      <c r="D89" s="25">
        <v>42421</v>
      </c>
      <c r="E89" s="23">
        <v>63</v>
      </c>
      <c r="F89" s="5" t="s">
        <v>165</v>
      </c>
      <c r="G89" s="68">
        <v>42452</v>
      </c>
      <c r="H89" s="69">
        <v>160</v>
      </c>
      <c r="I89" s="70" t="s">
        <v>256</v>
      </c>
      <c r="J89" s="38"/>
      <c r="K89" s="93"/>
      <c r="L89" s="39"/>
      <c r="M89" s="92">
        <v>42520</v>
      </c>
      <c r="N89" s="95">
        <v>200</v>
      </c>
      <c r="O89" s="6" t="s">
        <v>415</v>
      </c>
      <c r="P89" s="98">
        <v>42545</v>
      </c>
      <c r="Q89" s="67">
        <v>1000</v>
      </c>
      <c r="R89" s="27" t="s">
        <v>499</v>
      </c>
      <c r="S89" s="74">
        <v>42575</v>
      </c>
      <c r="T89" s="75">
        <v>280</v>
      </c>
      <c r="U89" s="51" t="s">
        <v>587</v>
      </c>
      <c r="V89" s="79">
        <v>42604</v>
      </c>
      <c r="W89" s="80">
        <v>300</v>
      </c>
      <c r="X89" s="39" t="s">
        <v>688</v>
      </c>
      <c r="Y89" s="117">
        <v>42632</v>
      </c>
      <c r="Z89" s="102">
        <v>135</v>
      </c>
      <c r="AA89" s="66" t="s">
        <v>804</v>
      </c>
      <c r="AB89" s="85">
        <v>42666</v>
      </c>
      <c r="AC89" s="86">
        <v>98.5</v>
      </c>
      <c r="AD89" s="104" t="s">
        <v>917</v>
      </c>
      <c r="AE89" s="87">
        <v>42695</v>
      </c>
      <c r="AF89" s="88">
        <v>300</v>
      </c>
      <c r="AG89" s="58" t="s">
        <v>1030</v>
      </c>
      <c r="AH89" s="121">
        <v>42720</v>
      </c>
      <c r="AI89" s="122">
        <v>250</v>
      </c>
      <c r="AJ89" s="62" t="s">
        <v>1152</v>
      </c>
    </row>
    <row r="90" spans="1:36" x14ac:dyDescent="0.25">
      <c r="A90" s="9">
        <v>42400</v>
      </c>
      <c r="B90" s="91">
        <v>450</v>
      </c>
      <c r="C90" s="7" t="s">
        <v>88</v>
      </c>
      <c r="D90" s="25">
        <v>42421</v>
      </c>
      <c r="E90" s="23">
        <v>79.2</v>
      </c>
      <c r="F90" s="5" t="s">
        <v>166</v>
      </c>
      <c r="G90" s="68">
        <v>42452</v>
      </c>
      <c r="H90" s="69">
        <v>1000</v>
      </c>
      <c r="I90" s="108" t="s">
        <v>257</v>
      </c>
      <c r="J90" s="38"/>
      <c r="K90" s="93"/>
      <c r="L90" s="39"/>
      <c r="M90" s="92">
        <v>42520</v>
      </c>
      <c r="N90" s="95">
        <v>1250</v>
      </c>
      <c r="O90" s="6" t="s">
        <v>416</v>
      </c>
      <c r="P90" s="98">
        <v>42545</v>
      </c>
      <c r="Q90" s="67">
        <v>190</v>
      </c>
      <c r="R90" s="27" t="s">
        <v>500</v>
      </c>
      <c r="S90" s="74">
        <v>42576</v>
      </c>
      <c r="T90" s="75">
        <v>100</v>
      </c>
      <c r="U90" s="51" t="s">
        <v>588</v>
      </c>
      <c r="V90" s="79">
        <v>42604</v>
      </c>
      <c r="W90" s="80">
        <v>400</v>
      </c>
      <c r="X90" s="39" t="s">
        <v>689</v>
      </c>
      <c r="Y90" s="117">
        <v>42632</v>
      </c>
      <c r="Z90" s="102">
        <v>120</v>
      </c>
      <c r="AA90" s="66" t="s">
        <v>805</v>
      </c>
      <c r="AB90" s="85">
        <v>42666</v>
      </c>
      <c r="AC90" s="86">
        <v>33.5</v>
      </c>
      <c r="AD90" s="104" t="s">
        <v>918</v>
      </c>
      <c r="AE90" s="87">
        <v>42696</v>
      </c>
      <c r="AF90" s="88">
        <v>230</v>
      </c>
      <c r="AG90" s="58" t="s">
        <v>1031</v>
      </c>
      <c r="AH90" s="121">
        <v>42720</v>
      </c>
      <c r="AI90" s="122">
        <v>250</v>
      </c>
      <c r="AJ90" s="62" t="s">
        <v>1153</v>
      </c>
    </row>
    <row r="91" spans="1:36" x14ac:dyDescent="0.25">
      <c r="A91" s="9">
        <v>42400</v>
      </c>
      <c r="B91" s="91">
        <v>100</v>
      </c>
      <c r="C91" s="7" t="s">
        <v>89</v>
      </c>
      <c r="D91" s="25">
        <v>42422</v>
      </c>
      <c r="E91" s="23">
        <v>110</v>
      </c>
      <c r="F91" s="5" t="s">
        <v>167</v>
      </c>
      <c r="G91" s="68">
        <v>42452</v>
      </c>
      <c r="H91" s="69">
        <v>150</v>
      </c>
      <c r="I91" s="70" t="s">
        <v>258</v>
      </c>
      <c r="J91" s="38"/>
      <c r="K91" s="93"/>
      <c r="L91" s="39"/>
      <c r="M91" s="92">
        <v>42520</v>
      </c>
      <c r="N91" s="95">
        <v>120</v>
      </c>
      <c r="O91" s="6" t="s">
        <v>417</v>
      </c>
      <c r="P91" s="98">
        <v>42545</v>
      </c>
      <c r="Q91" s="67">
        <v>4000</v>
      </c>
      <c r="R91" s="27" t="s">
        <v>502</v>
      </c>
      <c r="S91" s="74">
        <v>42576</v>
      </c>
      <c r="T91" s="75">
        <v>150</v>
      </c>
      <c r="U91" s="51" t="s">
        <v>589</v>
      </c>
      <c r="V91" s="79">
        <v>42604</v>
      </c>
      <c r="W91" s="80">
        <v>1700</v>
      </c>
      <c r="X91" s="39" t="s">
        <v>690</v>
      </c>
      <c r="Y91" s="118">
        <v>42633</v>
      </c>
      <c r="Z91" s="84">
        <v>1760</v>
      </c>
      <c r="AA91" s="66" t="s">
        <v>806</v>
      </c>
      <c r="AB91" s="85">
        <v>42666</v>
      </c>
      <c r="AC91" s="86">
        <v>5</v>
      </c>
      <c r="AD91" s="104" t="s">
        <v>919</v>
      </c>
      <c r="AE91" s="87">
        <v>42696</v>
      </c>
      <c r="AF91" s="88">
        <v>70</v>
      </c>
      <c r="AG91" s="58" t="s">
        <v>1032</v>
      </c>
      <c r="AH91" s="121">
        <v>42721</v>
      </c>
      <c r="AI91" s="122">
        <v>500</v>
      </c>
      <c r="AJ91" s="62" t="s">
        <v>1154</v>
      </c>
    </row>
    <row r="92" spans="1:36" x14ac:dyDescent="0.25">
      <c r="A92" s="9">
        <v>42400</v>
      </c>
      <c r="B92" s="91">
        <v>650</v>
      </c>
      <c r="C92" s="7" t="s">
        <v>90</v>
      </c>
      <c r="D92" s="25">
        <v>42422</v>
      </c>
      <c r="E92" s="23">
        <v>20</v>
      </c>
      <c r="F92" s="5" t="s">
        <v>168</v>
      </c>
      <c r="G92" s="68">
        <v>42453</v>
      </c>
      <c r="H92" s="69">
        <v>1500</v>
      </c>
      <c r="I92" s="70" t="s">
        <v>259</v>
      </c>
      <c r="J92" s="38"/>
      <c r="K92" s="93"/>
      <c r="L92" s="39"/>
      <c r="M92" s="92">
        <v>42521</v>
      </c>
      <c r="N92" s="95">
        <v>650</v>
      </c>
      <c r="O92" s="6" t="s">
        <v>418</v>
      </c>
      <c r="P92" s="98">
        <v>42545</v>
      </c>
      <c r="Q92" s="67">
        <v>3000</v>
      </c>
      <c r="R92" s="27" t="s">
        <v>501</v>
      </c>
      <c r="S92" s="74">
        <v>42576</v>
      </c>
      <c r="T92" s="75">
        <v>400</v>
      </c>
      <c r="U92" s="51" t="s">
        <v>528</v>
      </c>
      <c r="V92" s="79">
        <v>42606</v>
      </c>
      <c r="W92" s="80">
        <v>400</v>
      </c>
      <c r="X92" s="39" t="s">
        <v>691</v>
      </c>
      <c r="Y92" s="118">
        <v>42633</v>
      </c>
      <c r="Z92" s="84">
        <v>1224</v>
      </c>
      <c r="AA92" s="66" t="s">
        <v>807</v>
      </c>
      <c r="AB92" s="85">
        <v>42666</v>
      </c>
      <c r="AC92" s="86">
        <v>7.9</v>
      </c>
      <c r="AD92" s="104" t="s">
        <v>920</v>
      </c>
      <c r="AE92" s="87">
        <v>42696</v>
      </c>
      <c r="AF92" s="88">
        <v>14.5</v>
      </c>
      <c r="AG92" s="58" t="s">
        <v>1033</v>
      </c>
      <c r="AH92" s="121">
        <v>42721</v>
      </c>
      <c r="AI92" s="122">
        <v>280</v>
      </c>
      <c r="AJ92" s="62" t="s">
        <v>1155</v>
      </c>
    </row>
    <row r="93" spans="1:36" x14ac:dyDescent="0.25">
      <c r="A93" s="9">
        <v>42400</v>
      </c>
      <c r="B93" s="91">
        <v>100</v>
      </c>
      <c r="C93" s="7" t="s">
        <v>91</v>
      </c>
      <c r="D93" s="25">
        <v>42424</v>
      </c>
      <c r="E93" s="23">
        <v>1200</v>
      </c>
      <c r="F93" s="5" t="s">
        <v>169</v>
      </c>
      <c r="G93" s="68">
        <v>42453</v>
      </c>
      <c r="H93" s="69">
        <v>192</v>
      </c>
      <c r="I93" s="70" t="s">
        <v>250</v>
      </c>
      <c r="J93" s="38"/>
      <c r="K93" s="93"/>
      <c r="L93" s="39"/>
      <c r="M93" s="92">
        <v>42521</v>
      </c>
      <c r="N93" s="95">
        <v>400</v>
      </c>
      <c r="O93" s="6" t="s">
        <v>419</v>
      </c>
      <c r="P93" s="98">
        <v>42546</v>
      </c>
      <c r="Q93" s="67">
        <v>1560</v>
      </c>
      <c r="R93" s="27" t="s">
        <v>503</v>
      </c>
      <c r="S93" s="74">
        <v>42576</v>
      </c>
      <c r="T93" s="75">
        <v>110</v>
      </c>
      <c r="U93" s="51" t="s">
        <v>590</v>
      </c>
      <c r="V93" s="79">
        <v>42606</v>
      </c>
      <c r="W93" s="80">
        <v>243</v>
      </c>
      <c r="X93" s="39" t="s">
        <v>692</v>
      </c>
      <c r="Y93" s="118">
        <v>42633</v>
      </c>
      <c r="Z93" s="84">
        <v>3080</v>
      </c>
      <c r="AA93" s="66" t="s">
        <v>808</v>
      </c>
      <c r="AB93" s="85">
        <v>42666</v>
      </c>
      <c r="AC93" s="86">
        <v>190.4</v>
      </c>
      <c r="AD93" s="104" t="s">
        <v>921</v>
      </c>
      <c r="AE93" s="87">
        <v>42696</v>
      </c>
      <c r="AF93" s="88">
        <v>900</v>
      </c>
      <c r="AG93" s="58" t="s">
        <v>1034</v>
      </c>
      <c r="AH93" s="121">
        <v>42721</v>
      </c>
      <c r="AI93" s="122">
        <v>350</v>
      </c>
      <c r="AJ93" s="62" t="s">
        <v>1156</v>
      </c>
    </row>
    <row r="94" spans="1:36" x14ac:dyDescent="0.25">
      <c r="A94" s="9">
        <v>42400</v>
      </c>
      <c r="B94" s="91">
        <v>2700</v>
      </c>
      <c r="C94" s="7" t="s">
        <v>45</v>
      </c>
      <c r="D94" s="25">
        <v>42424</v>
      </c>
      <c r="E94" s="23">
        <v>360</v>
      </c>
      <c r="F94" s="5" t="s">
        <v>170</v>
      </c>
      <c r="G94" s="68">
        <v>42453</v>
      </c>
      <c r="H94" s="69">
        <v>400</v>
      </c>
      <c r="I94" s="70" t="s">
        <v>260</v>
      </c>
      <c r="J94" s="38"/>
      <c r="K94" s="93"/>
      <c r="L94" s="39"/>
      <c r="M94" s="92">
        <v>42521</v>
      </c>
      <c r="N94" s="95">
        <v>148</v>
      </c>
      <c r="O94" s="6" t="s">
        <v>420</v>
      </c>
      <c r="P94" s="98">
        <v>42546</v>
      </c>
      <c r="Q94" s="67">
        <v>2400</v>
      </c>
      <c r="R94" s="27" t="s">
        <v>504</v>
      </c>
      <c r="S94" s="74">
        <v>42577</v>
      </c>
      <c r="T94" s="75">
        <v>300</v>
      </c>
      <c r="U94" s="51" t="s">
        <v>591</v>
      </c>
      <c r="V94" s="79">
        <v>42606</v>
      </c>
      <c r="W94" s="80">
        <v>200</v>
      </c>
      <c r="X94" s="39" t="s">
        <v>693</v>
      </c>
      <c r="Y94" s="118">
        <v>42634</v>
      </c>
      <c r="Z94" s="84">
        <v>5622</v>
      </c>
      <c r="AA94" s="66" t="s">
        <v>809</v>
      </c>
      <c r="AB94" s="85">
        <v>42666</v>
      </c>
      <c r="AC94" s="86">
        <v>300</v>
      </c>
      <c r="AD94" s="104" t="s">
        <v>922</v>
      </c>
      <c r="AE94" s="87">
        <v>42696</v>
      </c>
      <c r="AF94" s="88">
        <v>500</v>
      </c>
      <c r="AG94" s="58" t="s">
        <v>1035</v>
      </c>
      <c r="AH94" s="121">
        <v>42721</v>
      </c>
      <c r="AI94" s="122">
        <v>250</v>
      </c>
      <c r="AJ94" s="62" t="s">
        <v>1157</v>
      </c>
    </row>
    <row r="95" spans="1:36" x14ac:dyDescent="0.25">
      <c r="A95" s="9">
        <v>42400</v>
      </c>
      <c r="B95" s="91">
        <v>29000</v>
      </c>
      <c r="C95" s="7" t="s">
        <v>46</v>
      </c>
      <c r="D95" s="25">
        <v>42424</v>
      </c>
      <c r="E95" s="23">
        <v>1500</v>
      </c>
      <c r="F95" s="5" t="s">
        <v>171</v>
      </c>
      <c r="G95" s="68">
        <v>42453</v>
      </c>
      <c r="H95" s="69">
        <v>197.4</v>
      </c>
      <c r="I95" s="70" t="s">
        <v>261</v>
      </c>
      <c r="J95" s="38"/>
      <c r="K95" s="93"/>
      <c r="L95" s="39"/>
      <c r="M95" s="92">
        <v>42521</v>
      </c>
      <c r="N95" s="95">
        <v>450</v>
      </c>
      <c r="O95" s="6" t="s">
        <v>421</v>
      </c>
      <c r="P95" s="98">
        <v>42546</v>
      </c>
      <c r="Q95" s="67">
        <v>168</v>
      </c>
      <c r="R95" s="27" t="s">
        <v>250</v>
      </c>
      <c r="S95" s="74">
        <v>42577</v>
      </c>
      <c r="T95" s="75">
        <v>1200</v>
      </c>
      <c r="U95" s="51" t="s">
        <v>592</v>
      </c>
      <c r="V95" s="79">
        <v>42607</v>
      </c>
      <c r="W95" s="80">
        <v>2000</v>
      </c>
      <c r="X95" s="39" t="s">
        <v>694</v>
      </c>
      <c r="Y95" s="118">
        <v>42634</v>
      </c>
      <c r="Z95" s="84">
        <v>3750</v>
      </c>
      <c r="AA95" s="66" t="s">
        <v>810</v>
      </c>
      <c r="AB95" s="85">
        <v>42666</v>
      </c>
      <c r="AC95" s="86">
        <v>400</v>
      </c>
      <c r="AD95" s="104" t="s">
        <v>923</v>
      </c>
      <c r="AE95" s="87">
        <v>42696</v>
      </c>
      <c r="AF95" s="88">
        <v>26</v>
      </c>
      <c r="AG95" s="58" t="s">
        <v>1038</v>
      </c>
      <c r="AH95" s="121">
        <v>42721</v>
      </c>
      <c r="AI95" s="122">
        <v>120</v>
      </c>
      <c r="AJ95" s="62" t="s">
        <v>974</v>
      </c>
    </row>
    <row r="96" spans="1:36" x14ac:dyDescent="0.25">
      <c r="A96" s="9">
        <v>42400</v>
      </c>
      <c r="B96" s="91">
        <v>4000</v>
      </c>
      <c r="C96" s="7" t="s">
        <v>47</v>
      </c>
      <c r="D96" s="25">
        <v>42425</v>
      </c>
      <c r="E96" s="23">
        <v>400</v>
      </c>
      <c r="F96" s="5" t="s">
        <v>172</v>
      </c>
      <c r="G96" s="68">
        <v>42454</v>
      </c>
      <c r="H96" s="69">
        <v>1000</v>
      </c>
      <c r="I96" s="70" t="s">
        <v>246</v>
      </c>
      <c r="J96" s="38"/>
      <c r="K96" s="93"/>
      <c r="L96" s="39"/>
      <c r="M96" s="92">
        <v>42521</v>
      </c>
      <c r="N96" s="95">
        <v>1000</v>
      </c>
      <c r="O96" s="6" t="s">
        <v>422</v>
      </c>
      <c r="P96" s="98">
        <v>42547</v>
      </c>
      <c r="Q96" s="67">
        <v>250</v>
      </c>
      <c r="R96" s="27" t="s">
        <v>505</v>
      </c>
      <c r="S96" s="74">
        <v>42577</v>
      </c>
      <c r="T96" s="75">
        <v>2425</v>
      </c>
      <c r="U96" s="51" t="s">
        <v>593</v>
      </c>
      <c r="V96" s="79">
        <v>42607</v>
      </c>
      <c r="W96" s="80">
        <v>3000</v>
      </c>
      <c r="X96" s="39" t="s">
        <v>695</v>
      </c>
      <c r="Y96" s="118">
        <v>42634</v>
      </c>
      <c r="Z96" s="84">
        <v>1000</v>
      </c>
      <c r="AA96" s="66" t="s">
        <v>811</v>
      </c>
      <c r="AB96" s="85">
        <v>42666</v>
      </c>
      <c r="AC96" s="86">
        <v>400</v>
      </c>
      <c r="AD96" s="104" t="s">
        <v>924</v>
      </c>
      <c r="AE96" s="87">
        <v>42696</v>
      </c>
      <c r="AF96" s="88">
        <v>180</v>
      </c>
      <c r="AG96" s="58" t="s">
        <v>1036</v>
      </c>
      <c r="AH96" s="121">
        <v>42721</v>
      </c>
      <c r="AI96" s="122">
        <v>150</v>
      </c>
      <c r="AJ96" s="62" t="s">
        <v>1058</v>
      </c>
    </row>
    <row r="97" spans="1:36" x14ac:dyDescent="0.25">
      <c r="A97" s="9"/>
      <c r="B97" s="91"/>
      <c r="C97" s="7"/>
      <c r="D97" s="25">
        <v>42426</v>
      </c>
      <c r="E97" s="23">
        <v>110</v>
      </c>
      <c r="F97" s="5" t="s">
        <v>167</v>
      </c>
      <c r="G97" s="68">
        <v>42456</v>
      </c>
      <c r="H97" s="69">
        <v>500</v>
      </c>
      <c r="I97" s="70" t="s">
        <v>262</v>
      </c>
      <c r="J97" s="38"/>
      <c r="K97" s="93"/>
      <c r="L97" s="39"/>
      <c r="M97" s="92">
        <v>42521</v>
      </c>
      <c r="N97" s="95">
        <v>2700</v>
      </c>
      <c r="O97" s="6" t="s">
        <v>423</v>
      </c>
      <c r="P97" s="98">
        <v>42547</v>
      </c>
      <c r="Q97" s="67">
        <v>100</v>
      </c>
      <c r="R97" s="27" t="s">
        <v>440</v>
      </c>
      <c r="S97" s="74">
        <v>42577</v>
      </c>
      <c r="T97" s="75">
        <v>400</v>
      </c>
      <c r="U97" s="51" t="s">
        <v>594</v>
      </c>
      <c r="V97" s="79">
        <v>42607</v>
      </c>
      <c r="W97" s="80">
        <v>29000</v>
      </c>
      <c r="X97" s="39" t="s">
        <v>696</v>
      </c>
      <c r="Y97" s="118">
        <v>42634</v>
      </c>
      <c r="Z97" s="84">
        <v>350</v>
      </c>
      <c r="AA97" s="66" t="s">
        <v>839</v>
      </c>
      <c r="AB97" s="85">
        <v>42667</v>
      </c>
      <c r="AC97" s="86">
        <v>400</v>
      </c>
      <c r="AD97" s="104" t="s">
        <v>925</v>
      </c>
      <c r="AE97" s="87">
        <v>42698</v>
      </c>
      <c r="AF97" s="88">
        <v>96</v>
      </c>
      <c r="AG97" s="58" t="s">
        <v>1038</v>
      </c>
      <c r="AH97" s="121">
        <v>42722</v>
      </c>
      <c r="AI97" s="122">
        <v>91</v>
      </c>
      <c r="AJ97" s="62" t="s">
        <v>794</v>
      </c>
    </row>
    <row r="98" spans="1:36" x14ac:dyDescent="0.25">
      <c r="A98" s="9"/>
      <c r="B98" s="91"/>
      <c r="C98" s="7"/>
      <c r="D98" s="25">
        <v>42426</v>
      </c>
      <c r="E98" s="23">
        <v>1000</v>
      </c>
      <c r="F98" s="5" t="s">
        <v>17</v>
      </c>
      <c r="G98" s="68">
        <v>42456</v>
      </c>
      <c r="H98" s="69">
        <v>24</v>
      </c>
      <c r="I98" s="70" t="s">
        <v>263</v>
      </c>
      <c r="J98" s="38"/>
      <c r="K98" s="93"/>
      <c r="L98" s="39"/>
      <c r="M98" s="92">
        <v>42521</v>
      </c>
      <c r="N98" s="95">
        <v>29000</v>
      </c>
      <c r="O98" s="6" t="s">
        <v>424</v>
      </c>
      <c r="P98" s="98">
        <v>42547</v>
      </c>
      <c r="Q98" s="67">
        <v>2700</v>
      </c>
      <c r="R98" s="27" t="s">
        <v>506</v>
      </c>
      <c r="S98" s="74">
        <v>42577</v>
      </c>
      <c r="T98" s="75">
        <v>540</v>
      </c>
      <c r="U98" s="51" t="s">
        <v>595</v>
      </c>
      <c r="V98" s="79">
        <v>42607</v>
      </c>
      <c r="W98" s="80">
        <v>300</v>
      </c>
      <c r="X98" s="39" t="s">
        <v>697</v>
      </c>
      <c r="Y98" s="118">
        <v>42634</v>
      </c>
      <c r="Z98" s="84">
        <v>500</v>
      </c>
      <c r="AA98" s="66" t="s">
        <v>812</v>
      </c>
      <c r="AB98" s="85">
        <v>42667</v>
      </c>
      <c r="AC98" s="86">
        <v>310</v>
      </c>
      <c r="AD98" s="104" t="s">
        <v>863</v>
      </c>
      <c r="AE98" s="87">
        <v>42698</v>
      </c>
      <c r="AF98" s="88">
        <v>160</v>
      </c>
      <c r="AG98" s="58" t="s">
        <v>1039</v>
      </c>
      <c r="AH98" s="121">
        <v>42722</v>
      </c>
      <c r="AI98" s="122">
        <v>320</v>
      </c>
      <c r="AJ98" s="62" t="s">
        <v>1158</v>
      </c>
    </row>
    <row r="99" spans="1:36" x14ac:dyDescent="0.25">
      <c r="A99" s="9"/>
      <c r="B99" s="91"/>
      <c r="C99" s="7"/>
      <c r="D99" s="25">
        <v>42426</v>
      </c>
      <c r="E99" s="23">
        <v>925</v>
      </c>
      <c r="F99" s="5" t="s">
        <v>173</v>
      </c>
      <c r="G99" s="68">
        <v>42456</v>
      </c>
      <c r="H99" s="69">
        <v>54.5</v>
      </c>
      <c r="I99" s="70" t="s">
        <v>263</v>
      </c>
      <c r="J99" s="38"/>
      <c r="K99" s="93"/>
      <c r="L99" s="39"/>
      <c r="M99" s="92">
        <v>42521</v>
      </c>
      <c r="N99" s="95">
        <v>4000</v>
      </c>
      <c r="O99" s="6" t="s">
        <v>425</v>
      </c>
      <c r="P99" s="98">
        <v>42548</v>
      </c>
      <c r="Q99" s="67">
        <v>400</v>
      </c>
      <c r="R99" s="27" t="s">
        <v>507</v>
      </c>
      <c r="S99" s="74">
        <v>42577</v>
      </c>
      <c r="T99" s="75">
        <v>200</v>
      </c>
      <c r="U99" s="51" t="s">
        <v>596</v>
      </c>
      <c r="V99" s="79">
        <v>42607</v>
      </c>
      <c r="W99" s="80">
        <v>1998</v>
      </c>
      <c r="X99" s="39" t="s">
        <v>698</v>
      </c>
      <c r="Y99" s="118">
        <v>42635</v>
      </c>
      <c r="Z99" s="84">
        <v>50</v>
      </c>
      <c r="AA99" s="66" t="s">
        <v>813</v>
      </c>
      <c r="AB99" s="85">
        <v>42667</v>
      </c>
      <c r="AC99" s="86">
        <v>600</v>
      </c>
      <c r="AD99" s="104" t="s">
        <v>926</v>
      </c>
      <c r="AE99" s="87">
        <v>42698</v>
      </c>
      <c r="AF99" s="88">
        <v>850</v>
      </c>
      <c r="AG99" s="58" t="s">
        <v>1040</v>
      </c>
      <c r="AH99" s="121">
        <v>42723</v>
      </c>
      <c r="AI99" s="122">
        <v>310</v>
      </c>
      <c r="AJ99" s="62" t="s">
        <v>746</v>
      </c>
    </row>
    <row r="100" spans="1:36" x14ac:dyDescent="0.25">
      <c r="A100" s="43"/>
      <c r="B100" s="44"/>
      <c r="C100" s="41"/>
      <c r="D100" s="25">
        <v>42428</v>
      </c>
      <c r="E100" s="23">
        <v>100</v>
      </c>
      <c r="F100" s="5" t="s">
        <v>67</v>
      </c>
      <c r="G100" s="68">
        <v>42456</v>
      </c>
      <c r="H100" s="69">
        <v>100</v>
      </c>
      <c r="I100" s="70" t="s">
        <v>264</v>
      </c>
      <c r="J100" s="43"/>
      <c r="M100" s="113"/>
      <c r="N100" s="114"/>
      <c r="O100" s="41"/>
      <c r="P100" s="98">
        <v>42548</v>
      </c>
      <c r="Q100" s="67">
        <v>150</v>
      </c>
      <c r="R100" s="27" t="s">
        <v>508</v>
      </c>
      <c r="S100" s="74">
        <v>42578</v>
      </c>
      <c r="T100" s="75">
        <v>1000</v>
      </c>
      <c r="U100" s="51" t="s">
        <v>603</v>
      </c>
      <c r="V100" s="79">
        <v>42608</v>
      </c>
      <c r="W100" s="80">
        <v>270</v>
      </c>
      <c r="X100" s="39" t="s">
        <v>699</v>
      </c>
      <c r="Y100" s="118">
        <v>42636</v>
      </c>
      <c r="Z100" s="84">
        <v>1000</v>
      </c>
      <c r="AA100" s="66" t="s">
        <v>814</v>
      </c>
      <c r="AB100" s="85">
        <v>42667</v>
      </c>
      <c r="AC100" s="86">
        <v>150</v>
      </c>
      <c r="AD100" s="104" t="s">
        <v>928</v>
      </c>
      <c r="AE100" s="87">
        <v>42698</v>
      </c>
      <c r="AF100" s="88">
        <v>10.5</v>
      </c>
      <c r="AG100" s="58" t="s">
        <v>1041</v>
      </c>
      <c r="AH100" s="121">
        <v>42723</v>
      </c>
      <c r="AI100" s="122">
        <v>400</v>
      </c>
      <c r="AJ100" s="62" t="s">
        <v>1159</v>
      </c>
    </row>
    <row r="101" spans="1:36" x14ac:dyDescent="0.25">
      <c r="A101" s="43"/>
      <c r="B101" s="44"/>
      <c r="C101" s="41"/>
      <c r="D101" s="25">
        <v>42429</v>
      </c>
      <c r="E101" s="23">
        <v>450</v>
      </c>
      <c r="F101" s="5" t="s">
        <v>174</v>
      </c>
      <c r="G101" s="68">
        <v>42457</v>
      </c>
      <c r="H101" s="69">
        <v>110</v>
      </c>
      <c r="I101" s="70" t="s">
        <v>115</v>
      </c>
      <c r="J101" s="43"/>
      <c r="M101" s="113"/>
      <c r="N101" s="114"/>
      <c r="O101" s="41"/>
      <c r="P101" s="98">
        <v>42548</v>
      </c>
      <c r="Q101" s="67">
        <v>150</v>
      </c>
      <c r="R101" s="27" t="s">
        <v>349</v>
      </c>
      <c r="S101" s="74">
        <v>42578</v>
      </c>
      <c r="T101" s="75">
        <v>130</v>
      </c>
      <c r="U101" s="51" t="s">
        <v>604</v>
      </c>
      <c r="V101" s="79">
        <v>42608</v>
      </c>
      <c r="W101" s="80">
        <v>25</v>
      </c>
      <c r="X101" s="39" t="s">
        <v>700</v>
      </c>
      <c r="Y101" s="118">
        <v>42637</v>
      </c>
      <c r="Z101" s="84">
        <v>500</v>
      </c>
      <c r="AA101" s="66" t="s">
        <v>815</v>
      </c>
      <c r="AB101" s="85">
        <v>42667</v>
      </c>
      <c r="AC101" s="86">
        <v>250</v>
      </c>
      <c r="AD101" s="55" t="s">
        <v>931</v>
      </c>
      <c r="AE101" s="87">
        <v>42698</v>
      </c>
      <c r="AF101" s="88">
        <v>40</v>
      </c>
      <c r="AG101" s="58" t="s">
        <v>1042</v>
      </c>
      <c r="AH101" s="121">
        <v>42723</v>
      </c>
      <c r="AI101" s="122">
        <v>300</v>
      </c>
      <c r="AJ101" s="62" t="s">
        <v>1160</v>
      </c>
    </row>
    <row r="102" spans="1:36" x14ac:dyDescent="0.25">
      <c r="A102" s="43"/>
      <c r="B102" s="44"/>
      <c r="C102" s="41"/>
      <c r="D102" s="25">
        <v>42429</v>
      </c>
      <c r="E102" s="23">
        <v>650</v>
      </c>
      <c r="F102" s="5" t="s">
        <v>175</v>
      </c>
      <c r="G102" s="68">
        <v>42458</v>
      </c>
      <c r="H102" s="69">
        <v>500</v>
      </c>
      <c r="I102" s="70" t="s">
        <v>265</v>
      </c>
      <c r="J102" s="43"/>
      <c r="M102" s="113"/>
      <c r="N102" s="114"/>
      <c r="O102" s="41"/>
      <c r="P102" s="98">
        <v>42548</v>
      </c>
      <c r="Q102" s="67">
        <v>550</v>
      </c>
      <c r="R102" s="27" t="s">
        <v>509</v>
      </c>
      <c r="S102" s="74">
        <v>42578</v>
      </c>
      <c r="T102" s="75">
        <v>188</v>
      </c>
      <c r="U102" s="51" t="s">
        <v>605</v>
      </c>
      <c r="V102" s="79">
        <v>43703</v>
      </c>
      <c r="W102" s="80">
        <v>15</v>
      </c>
      <c r="X102" s="39" t="s">
        <v>701</v>
      </c>
      <c r="Y102" s="118">
        <v>42637</v>
      </c>
      <c r="Z102" s="84">
        <v>207</v>
      </c>
      <c r="AA102" s="66" t="s">
        <v>816</v>
      </c>
      <c r="AB102" s="85">
        <v>42667</v>
      </c>
      <c r="AC102" s="86">
        <v>100</v>
      </c>
      <c r="AD102" s="55" t="s">
        <v>929</v>
      </c>
      <c r="AE102" s="87">
        <v>42698</v>
      </c>
      <c r="AF102" s="88">
        <v>40</v>
      </c>
      <c r="AG102" s="58" t="s">
        <v>1043</v>
      </c>
      <c r="AH102" s="121">
        <v>42724</v>
      </c>
      <c r="AI102" s="122">
        <v>349.5</v>
      </c>
      <c r="AJ102" s="62" t="s">
        <v>1161</v>
      </c>
    </row>
    <row r="103" spans="1:36" x14ac:dyDescent="0.25">
      <c r="A103" s="43"/>
      <c r="B103" s="44"/>
      <c r="C103" s="41"/>
      <c r="D103" s="25">
        <v>42429</v>
      </c>
      <c r="E103" s="23">
        <v>110</v>
      </c>
      <c r="F103" s="5" t="s">
        <v>115</v>
      </c>
      <c r="G103" s="68">
        <v>42459</v>
      </c>
      <c r="H103" s="69">
        <v>750</v>
      </c>
      <c r="I103" s="70" t="s">
        <v>266</v>
      </c>
      <c r="J103" s="43"/>
      <c r="M103" s="113"/>
      <c r="N103" s="114"/>
      <c r="O103" s="41"/>
      <c r="P103" s="98">
        <v>42549</v>
      </c>
      <c r="Q103" s="67">
        <v>1249</v>
      </c>
      <c r="R103" s="27" t="s">
        <v>510</v>
      </c>
      <c r="S103" s="74">
        <v>42578</v>
      </c>
      <c r="T103" s="75">
        <v>160</v>
      </c>
      <c r="U103" s="51" t="s">
        <v>606</v>
      </c>
      <c r="V103" s="79">
        <v>42608</v>
      </c>
      <c r="W103" s="80">
        <v>500</v>
      </c>
      <c r="X103" s="39" t="s">
        <v>702</v>
      </c>
      <c r="Y103" s="118">
        <v>42638</v>
      </c>
      <c r="Z103" s="84">
        <v>86.5</v>
      </c>
      <c r="AA103" s="66" t="s">
        <v>817</v>
      </c>
      <c r="AB103" s="85">
        <v>42667</v>
      </c>
      <c r="AC103" s="86">
        <v>350</v>
      </c>
      <c r="AD103" s="55" t="s">
        <v>930</v>
      </c>
      <c r="AE103" s="87">
        <v>42698</v>
      </c>
      <c r="AF103" s="88">
        <v>260</v>
      </c>
      <c r="AG103" s="58" t="s">
        <v>1044</v>
      </c>
      <c r="AH103" s="121">
        <v>42724</v>
      </c>
      <c r="AI103" s="122">
        <v>5</v>
      </c>
      <c r="AJ103" s="62" t="s">
        <v>1162</v>
      </c>
    </row>
    <row r="104" spans="1:36" x14ac:dyDescent="0.25">
      <c r="A104" s="43"/>
      <c r="B104" s="44"/>
      <c r="C104" s="41"/>
      <c r="D104" s="25">
        <v>42429</v>
      </c>
      <c r="E104" s="23">
        <v>46</v>
      </c>
      <c r="F104" s="5" t="s">
        <v>179</v>
      </c>
      <c r="G104" s="68">
        <v>42459</v>
      </c>
      <c r="H104" s="69">
        <v>2800</v>
      </c>
      <c r="I104" s="70" t="s">
        <v>267</v>
      </c>
      <c r="J104" s="43"/>
      <c r="M104" s="113"/>
      <c r="N104" s="114"/>
      <c r="O104" s="41"/>
      <c r="P104" s="98">
        <v>42550</v>
      </c>
      <c r="Q104" s="67">
        <v>800</v>
      </c>
      <c r="R104" s="27" t="s">
        <v>511</v>
      </c>
      <c r="S104" s="74">
        <v>42578</v>
      </c>
      <c r="T104" s="75">
        <v>2000</v>
      </c>
      <c r="U104" s="51" t="s">
        <v>607</v>
      </c>
      <c r="V104" s="79">
        <v>42608</v>
      </c>
      <c r="W104" s="80">
        <v>500</v>
      </c>
      <c r="X104" s="39" t="s">
        <v>652</v>
      </c>
      <c r="Y104" s="118">
        <v>42638</v>
      </c>
      <c r="Z104" s="84">
        <v>120</v>
      </c>
      <c r="AA104" s="66" t="s">
        <v>818</v>
      </c>
      <c r="AB104" s="85">
        <v>42668</v>
      </c>
      <c r="AC104" s="86">
        <v>300</v>
      </c>
      <c r="AD104" s="55" t="s">
        <v>932</v>
      </c>
      <c r="AE104" s="87">
        <v>42698</v>
      </c>
      <c r="AF104" s="88">
        <v>317</v>
      </c>
      <c r="AG104" s="58" t="s">
        <v>1045</v>
      </c>
      <c r="AH104" s="121">
        <v>42724</v>
      </c>
      <c r="AI104" s="122">
        <v>400</v>
      </c>
      <c r="AJ104" s="62" t="s">
        <v>1173</v>
      </c>
    </row>
    <row r="105" spans="1:36" x14ac:dyDescent="0.25">
      <c r="A105" s="43"/>
      <c r="B105" s="44"/>
      <c r="C105" s="41"/>
      <c r="D105" s="25">
        <v>42429</v>
      </c>
      <c r="E105" s="23">
        <v>105.5</v>
      </c>
      <c r="F105" s="5" t="s">
        <v>179</v>
      </c>
      <c r="G105" s="68">
        <v>42460</v>
      </c>
      <c r="H105" s="69">
        <v>400</v>
      </c>
      <c r="I105" s="70" t="s">
        <v>268</v>
      </c>
      <c r="J105" s="43"/>
      <c r="M105" s="113"/>
      <c r="N105" s="114"/>
      <c r="O105" s="41"/>
      <c r="P105" s="98">
        <v>42550</v>
      </c>
      <c r="Q105" s="67">
        <v>520</v>
      </c>
      <c r="R105" s="27" t="s">
        <v>512</v>
      </c>
      <c r="S105" s="74">
        <v>42578</v>
      </c>
      <c r="T105" s="75">
        <v>1900</v>
      </c>
      <c r="U105" s="51" t="s">
        <v>608</v>
      </c>
      <c r="V105" s="79">
        <v>42608</v>
      </c>
      <c r="W105" s="80">
        <v>1000</v>
      </c>
      <c r="X105" s="39" t="s">
        <v>722</v>
      </c>
      <c r="Y105" s="118">
        <v>42638</v>
      </c>
      <c r="Z105" s="84">
        <v>150</v>
      </c>
      <c r="AA105" s="66" t="s">
        <v>819</v>
      </c>
      <c r="AB105" s="85">
        <v>42668</v>
      </c>
      <c r="AC105" s="86">
        <v>327.5</v>
      </c>
      <c r="AD105" s="55" t="s">
        <v>933</v>
      </c>
      <c r="AE105" s="87">
        <v>42698</v>
      </c>
      <c r="AF105" s="88">
        <v>180</v>
      </c>
      <c r="AG105" s="58" t="s">
        <v>1025</v>
      </c>
      <c r="AH105" s="121">
        <v>42724</v>
      </c>
      <c r="AI105" s="122">
        <v>831</v>
      </c>
      <c r="AJ105" s="62" t="s">
        <v>1163</v>
      </c>
    </row>
    <row r="106" spans="1:36" x14ac:dyDescent="0.25">
      <c r="A106" s="43"/>
      <c r="B106" s="44"/>
      <c r="C106" s="41"/>
      <c r="D106" s="25">
        <v>42429</v>
      </c>
      <c r="E106" s="23">
        <v>800</v>
      </c>
      <c r="F106" s="5" t="s">
        <v>180</v>
      </c>
      <c r="G106" s="68">
        <v>42460</v>
      </c>
      <c r="H106" s="69">
        <v>450</v>
      </c>
      <c r="I106" s="70" t="s">
        <v>269</v>
      </c>
      <c r="J106" s="43"/>
      <c r="M106" s="113"/>
      <c r="N106" s="114"/>
      <c r="O106" s="41"/>
      <c r="P106" s="98">
        <v>42550</v>
      </c>
      <c r="Q106" s="67">
        <v>177</v>
      </c>
      <c r="R106" s="27" t="s">
        <v>472</v>
      </c>
      <c r="S106" s="74">
        <v>42578</v>
      </c>
      <c r="T106" s="75">
        <v>400</v>
      </c>
      <c r="U106" s="51" t="s">
        <v>609</v>
      </c>
      <c r="V106" s="79">
        <v>42609</v>
      </c>
      <c r="W106" s="80">
        <v>50</v>
      </c>
      <c r="X106" s="39" t="s">
        <v>703</v>
      </c>
      <c r="Y106" s="118">
        <v>42638</v>
      </c>
      <c r="Z106" s="84">
        <v>500</v>
      </c>
      <c r="AA106" s="66" t="s">
        <v>820</v>
      </c>
      <c r="AB106" s="85">
        <v>42668</v>
      </c>
      <c r="AC106" s="86">
        <v>349.5</v>
      </c>
      <c r="AD106" s="55" t="s">
        <v>867</v>
      </c>
      <c r="AE106" s="87">
        <v>42698</v>
      </c>
      <c r="AF106" s="88">
        <v>132.6</v>
      </c>
      <c r="AG106" s="58" t="s">
        <v>1046</v>
      </c>
      <c r="AH106" s="121">
        <v>42724</v>
      </c>
      <c r="AI106" s="122">
        <v>565.79999999999995</v>
      </c>
      <c r="AJ106" s="62" t="s">
        <v>1164</v>
      </c>
    </row>
    <row r="107" spans="1:36" x14ac:dyDescent="0.25">
      <c r="A107" s="43"/>
      <c r="B107" s="44"/>
      <c r="C107" s="41"/>
      <c r="D107" s="25">
        <v>42429</v>
      </c>
      <c r="E107" s="107">
        <v>2700</v>
      </c>
      <c r="F107" s="5" t="s">
        <v>176</v>
      </c>
      <c r="G107" s="68">
        <v>42460</v>
      </c>
      <c r="H107" s="69">
        <v>650</v>
      </c>
      <c r="I107" s="70" t="s">
        <v>270</v>
      </c>
      <c r="J107" s="43"/>
      <c r="M107" s="113"/>
      <c r="N107" s="114"/>
      <c r="O107" s="41"/>
      <c r="P107" s="98">
        <v>42550</v>
      </c>
      <c r="Q107" s="67">
        <v>329</v>
      </c>
      <c r="R107" s="27" t="s">
        <v>434</v>
      </c>
      <c r="S107" s="74">
        <v>42580</v>
      </c>
      <c r="T107" s="75">
        <v>1000</v>
      </c>
      <c r="U107" s="51" t="s">
        <v>597</v>
      </c>
      <c r="V107" s="79">
        <v>42609</v>
      </c>
      <c r="W107" s="80">
        <v>50</v>
      </c>
      <c r="X107" s="39" t="s">
        <v>704</v>
      </c>
      <c r="Y107" s="118">
        <v>42638</v>
      </c>
      <c r="Z107" s="84">
        <v>500</v>
      </c>
      <c r="AA107" s="66" t="s">
        <v>821</v>
      </c>
      <c r="AB107" s="85">
        <v>42668</v>
      </c>
      <c r="AC107" s="86">
        <v>28</v>
      </c>
      <c r="AD107" s="55" t="s">
        <v>934</v>
      </c>
      <c r="AE107" s="87">
        <v>42393</v>
      </c>
      <c r="AF107" s="88">
        <v>14500</v>
      </c>
      <c r="AG107" s="58" t="s">
        <v>1048</v>
      </c>
      <c r="AH107" s="121">
        <v>42724</v>
      </c>
      <c r="AI107" s="122">
        <v>40</v>
      </c>
      <c r="AJ107" s="62" t="s">
        <v>1162</v>
      </c>
    </row>
    <row r="108" spans="1:36" x14ac:dyDescent="0.25">
      <c r="A108" s="43"/>
      <c r="B108" s="44"/>
      <c r="C108" s="41"/>
      <c r="D108" s="25">
        <v>42429</v>
      </c>
      <c r="E108" s="107">
        <v>29000</v>
      </c>
      <c r="F108" s="5" t="s">
        <v>177</v>
      </c>
      <c r="G108" s="68">
        <v>42460</v>
      </c>
      <c r="H108" s="69">
        <v>500</v>
      </c>
      <c r="I108" s="70" t="s">
        <v>271</v>
      </c>
      <c r="J108" s="43"/>
      <c r="P108" s="98">
        <v>42550</v>
      </c>
      <c r="Q108" s="67">
        <v>450</v>
      </c>
      <c r="R108" s="27" t="s">
        <v>513</v>
      </c>
      <c r="S108" s="74">
        <v>42582</v>
      </c>
      <c r="T108" s="75">
        <v>650</v>
      </c>
      <c r="U108" s="51" t="s">
        <v>598</v>
      </c>
      <c r="V108" s="79">
        <v>42609</v>
      </c>
      <c r="W108" s="80">
        <v>200</v>
      </c>
      <c r="X108" s="39" t="s">
        <v>705</v>
      </c>
      <c r="Y108" s="118">
        <v>42638</v>
      </c>
      <c r="Z108" s="84">
        <v>150</v>
      </c>
      <c r="AA108" s="66" t="s">
        <v>822</v>
      </c>
      <c r="AB108" s="85">
        <v>42668</v>
      </c>
      <c r="AC108" s="86">
        <v>30</v>
      </c>
      <c r="AD108" s="55" t="s">
        <v>935</v>
      </c>
      <c r="AE108" s="87">
        <v>42699</v>
      </c>
      <c r="AF108" s="88">
        <v>1000</v>
      </c>
      <c r="AG108" s="58" t="s">
        <v>1049</v>
      </c>
      <c r="AH108" s="121">
        <v>42724</v>
      </c>
      <c r="AI108" s="122">
        <v>480</v>
      </c>
      <c r="AJ108" s="62" t="s">
        <v>1165</v>
      </c>
    </row>
    <row r="109" spans="1:36" x14ac:dyDescent="0.25">
      <c r="A109" s="43"/>
      <c r="B109" s="44"/>
      <c r="C109" s="41"/>
      <c r="D109" s="25">
        <v>42429</v>
      </c>
      <c r="E109" s="107">
        <v>4000</v>
      </c>
      <c r="F109" s="5" t="s">
        <v>178</v>
      </c>
      <c r="G109" s="68">
        <v>42460</v>
      </c>
      <c r="H109" s="69">
        <v>1000</v>
      </c>
      <c r="I109" s="70" t="s">
        <v>268</v>
      </c>
      <c r="J109" s="43"/>
      <c r="P109" s="98">
        <v>42551</v>
      </c>
      <c r="Q109" s="67">
        <v>650</v>
      </c>
      <c r="R109" s="27" t="s">
        <v>418</v>
      </c>
      <c r="S109" s="74">
        <v>42582</v>
      </c>
      <c r="T109" s="75">
        <v>450</v>
      </c>
      <c r="U109" s="51" t="s">
        <v>599</v>
      </c>
      <c r="V109" s="79">
        <v>42609</v>
      </c>
      <c r="W109" s="80">
        <v>300</v>
      </c>
      <c r="X109" s="39" t="s">
        <v>706</v>
      </c>
      <c r="Y109" s="118">
        <v>42639</v>
      </c>
      <c r="Z109" s="84">
        <v>280</v>
      </c>
      <c r="AA109" s="66" t="s">
        <v>699</v>
      </c>
      <c r="AB109" s="85">
        <v>42668</v>
      </c>
      <c r="AC109" s="86">
        <v>65</v>
      </c>
      <c r="AD109" s="55" t="s">
        <v>936</v>
      </c>
      <c r="AE109" s="87">
        <v>42699</v>
      </c>
      <c r="AF109" s="88">
        <v>350</v>
      </c>
      <c r="AG109" s="58" t="s">
        <v>1050</v>
      </c>
      <c r="AH109" s="121">
        <v>42726</v>
      </c>
      <c r="AI109" s="122">
        <v>294</v>
      </c>
      <c r="AJ109" s="62" t="s">
        <v>1166</v>
      </c>
    </row>
    <row r="110" spans="1:36" x14ac:dyDescent="0.25">
      <c r="A110" s="43"/>
      <c r="B110" s="44"/>
      <c r="C110" s="41"/>
      <c r="D110" s="25"/>
      <c r="E110" s="23"/>
      <c r="F110" s="5"/>
      <c r="G110" s="68">
        <v>42460</v>
      </c>
      <c r="H110" s="69">
        <v>350</v>
      </c>
      <c r="I110" s="70" t="s">
        <v>272</v>
      </c>
      <c r="J110" s="43"/>
      <c r="P110" s="98">
        <v>42551</v>
      </c>
      <c r="Q110" s="67">
        <v>750</v>
      </c>
      <c r="R110" s="27" t="s">
        <v>512</v>
      </c>
      <c r="S110" s="74">
        <v>42582</v>
      </c>
      <c r="T110" s="75">
        <v>120</v>
      </c>
      <c r="U110" s="51" t="s">
        <v>537</v>
      </c>
      <c r="V110" s="79">
        <v>42609</v>
      </c>
      <c r="W110" s="80">
        <v>40</v>
      </c>
      <c r="X110" s="39" t="s">
        <v>707</v>
      </c>
      <c r="Y110" s="118">
        <v>42639</v>
      </c>
      <c r="Z110" s="84">
        <v>400</v>
      </c>
      <c r="AA110" s="66" t="s">
        <v>823</v>
      </c>
      <c r="AB110" s="85">
        <v>42668</v>
      </c>
      <c r="AC110" s="86">
        <v>44</v>
      </c>
      <c r="AD110" s="55" t="s">
        <v>937</v>
      </c>
      <c r="AE110" s="87">
        <v>42700</v>
      </c>
      <c r="AF110" s="88">
        <v>330</v>
      </c>
      <c r="AG110" s="58" t="s">
        <v>1051</v>
      </c>
      <c r="AH110" s="121">
        <v>42726</v>
      </c>
      <c r="AI110" s="122">
        <v>49</v>
      </c>
      <c r="AJ110" s="62" t="s">
        <v>1167</v>
      </c>
    </row>
    <row r="111" spans="1:36" x14ac:dyDescent="0.25">
      <c r="A111" s="43"/>
      <c r="B111" s="44"/>
      <c r="C111" s="41"/>
      <c r="D111" s="25"/>
      <c r="E111" s="23"/>
      <c r="F111" s="5"/>
      <c r="G111" s="68">
        <v>42460</v>
      </c>
      <c r="H111" s="69">
        <v>100</v>
      </c>
      <c r="I111" s="70" t="s">
        <v>273</v>
      </c>
      <c r="J111" s="43"/>
      <c r="P111" s="98">
        <v>42551</v>
      </c>
      <c r="Q111" s="67">
        <v>560</v>
      </c>
      <c r="R111" s="27" t="s">
        <v>545</v>
      </c>
      <c r="S111" s="74">
        <v>42582</v>
      </c>
      <c r="T111" s="75">
        <v>119.5</v>
      </c>
      <c r="U111" s="51" t="s">
        <v>610</v>
      </c>
      <c r="V111" s="79">
        <v>42609</v>
      </c>
      <c r="W111" s="80">
        <v>23</v>
      </c>
      <c r="X111" s="39" t="s">
        <v>708</v>
      </c>
      <c r="Y111" s="118">
        <v>42639</v>
      </c>
      <c r="Z111" s="84">
        <v>66</v>
      </c>
      <c r="AA111" s="66" t="s">
        <v>824</v>
      </c>
      <c r="AB111" s="85">
        <v>42669</v>
      </c>
      <c r="AC111" s="86">
        <v>258</v>
      </c>
      <c r="AD111" s="55" t="s">
        <v>938</v>
      </c>
      <c r="AE111" s="87">
        <v>42700</v>
      </c>
      <c r="AF111" s="88">
        <v>500</v>
      </c>
      <c r="AG111" s="58" t="s">
        <v>1052</v>
      </c>
      <c r="AH111" s="121">
        <v>42726</v>
      </c>
      <c r="AI111" s="122">
        <v>732</v>
      </c>
      <c r="AJ111" s="62" t="s">
        <v>1168</v>
      </c>
    </row>
    <row r="112" spans="1:36" x14ac:dyDescent="0.25">
      <c r="A112" s="43"/>
      <c r="B112" s="44"/>
      <c r="C112" s="41"/>
      <c r="D112" s="25"/>
      <c r="E112" s="23"/>
      <c r="F112" s="5"/>
      <c r="G112" s="68">
        <v>42460</v>
      </c>
      <c r="H112" s="69">
        <v>2700</v>
      </c>
      <c r="I112" s="70" t="s">
        <v>274</v>
      </c>
      <c r="J112" s="43"/>
      <c r="P112" s="98">
        <v>42551</v>
      </c>
      <c r="Q112" s="67">
        <v>2700</v>
      </c>
      <c r="R112" s="27" t="s">
        <v>515</v>
      </c>
      <c r="S112" s="74">
        <v>42582</v>
      </c>
      <c r="T112" s="75">
        <v>2700</v>
      </c>
      <c r="U112" s="51" t="s">
        <v>600</v>
      </c>
      <c r="V112" s="79">
        <v>42610</v>
      </c>
      <c r="W112" s="80">
        <v>120</v>
      </c>
      <c r="X112" s="39" t="s">
        <v>658</v>
      </c>
      <c r="Y112" s="118">
        <v>42639</v>
      </c>
      <c r="Z112" s="84">
        <v>279.60000000000002</v>
      </c>
      <c r="AA112" s="66" t="s">
        <v>787</v>
      </c>
      <c r="AB112" s="85">
        <v>42670</v>
      </c>
      <c r="AC112" s="86">
        <v>908.7</v>
      </c>
      <c r="AD112" s="55" t="s">
        <v>939</v>
      </c>
      <c r="AE112" s="87">
        <v>42700</v>
      </c>
      <c r="AF112" s="88">
        <v>250</v>
      </c>
      <c r="AG112" s="58" t="s">
        <v>1053</v>
      </c>
      <c r="AH112" s="121">
        <v>42726</v>
      </c>
      <c r="AI112" s="122">
        <v>813</v>
      </c>
      <c r="AJ112" s="62" t="s">
        <v>1168</v>
      </c>
    </row>
    <row r="113" spans="1:36" x14ac:dyDescent="0.25">
      <c r="A113" s="43"/>
      <c r="B113" s="44"/>
      <c r="C113" s="41"/>
      <c r="D113" s="25"/>
      <c r="E113" s="23"/>
      <c r="F113" s="5"/>
      <c r="G113" s="68">
        <v>42460</v>
      </c>
      <c r="H113" s="69">
        <v>28000</v>
      </c>
      <c r="I113" s="70" t="s">
        <v>275</v>
      </c>
      <c r="J113" s="43"/>
      <c r="P113" s="98">
        <v>42551</v>
      </c>
      <c r="Q113" s="67">
        <v>29000</v>
      </c>
      <c r="R113" s="27" t="s">
        <v>514</v>
      </c>
      <c r="S113" s="74">
        <v>42582</v>
      </c>
      <c r="T113" s="75">
        <v>29000</v>
      </c>
      <c r="U113" s="51" t="s">
        <v>601</v>
      </c>
      <c r="V113" s="79">
        <v>42610</v>
      </c>
      <c r="W113" s="80">
        <v>200</v>
      </c>
      <c r="X113" s="39" t="s">
        <v>709</v>
      </c>
      <c r="Y113" s="118">
        <v>42639</v>
      </c>
      <c r="Z113" s="84">
        <v>350</v>
      </c>
      <c r="AA113" s="66" t="s">
        <v>825</v>
      </c>
      <c r="AB113" s="85">
        <v>42670</v>
      </c>
      <c r="AC113" s="86">
        <v>584.66999999999996</v>
      </c>
      <c r="AD113" s="55" t="s">
        <v>940</v>
      </c>
      <c r="AE113" s="87">
        <v>42700</v>
      </c>
      <c r="AF113" s="88">
        <v>350</v>
      </c>
      <c r="AG113" s="58" t="s">
        <v>1054</v>
      </c>
      <c r="AH113" s="121">
        <v>42726</v>
      </c>
      <c r="AI113" s="122">
        <v>279</v>
      </c>
      <c r="AJ113" s="62" t="s">
        <v>1168</v>
      </c>
    </row>
    <row r="114" spans="1:36" x14ac:dyDescent="0.25">
      <c r="A114" s="43"/>
      <c r="B114" s="44"/>
      <c r="C114" s="41"/>
      <c r="D114" s="25"/>
      <c r="E114" s="23"/>
      <c r="F114" s="5"/>
      <c r="G114" s="68">
        <v>42460</v>
      </c>
      <c r="H114" s="69">
        <v>4000</v>
      </c>
      <c r="I114" s="70" t="s">
        <v>276</v>
      </c>
      <c r="J114" s="43"/>
      <c r="P114" s="98">
        <v>42551</v>
      </c>
      <c r="Q114" s="67">
        <v>4000</v>
      </c>
      <c r="R114" s="27" t="s">
        <v>516</v>
      </c>
      <c r="S114" s="74">
        <v>42582</v>
      </c>
      <c r="T114" s="75">
        <v>4000</v>
      </c>
      <c r="U114" s="51" t="s">
        <v>602</v>
      </c>
      <c r="V114" s="79">
        <v>42610</v>
      </c>
      <c r="W114" s="80">
        <v>799</v>
      </c>
      <c r="X114" s="39" t="s">
        <v>710</v>
      </c>
      <c r="Y114" s="118">
        <v>42641</v>
      </c>
      <c r="Z114" s="84">
        <v>300</v>
      </c>
      <c r="AA114" s="66" t="s">
        <v>826</v>
      </c>
      <c r="AB114" s="85">
        <v>42670</v>
      </c>
      <c r="AC114" s="86">
        <v>108.3</v>
      </c>
      <c r="AD114" s="55" t="s">
        <v>941</v>
      </c>
      <c r="AE114" s="87">
        <v>42700</v>
      </c>
      <c r="AF114" s="88">
        <v>500</v>
      </c>
      <c r="AG114" s="58" t="s">
        <v>1055</v>
      </c>
      <c r="AH114" s="121">
        <v>42726</v>
      </c>
      <c r="AI114" s="122">
        <v>168</v>
      </c>
      <c r="AJ114" s="62" t="s">
        <v>1169</v>
      </c>
    </row>
    <row r="115" spans="1:36" x14ac:dyDescent="0.25">
      <c r="A115" s="43"/>
      <c r="B115" s="44"/>
      <c r="C115" s="41"/>
      <c r="D115" s="25"/>
      <c r="E115" s="23"/>
      <c r="F115" s="5"/>
      <c r="G115" s="68"/>
      <c r="H115" s="69"/>
      <c r="I115" s="70"/>
      <c r="J115" s="43"/>
      <c r="P115" s="98"/>
      <c r="Q115" s="67"/>
      <c r="R115" s="27"/>
      <c r="S115" s="51"/>
      <c r="T115" s="75"/>
      <c r="U115" s="51"/>
      <c r="V115" s="79">
        <v>42610</v>
      </c>
      <c r="W115" s="80">
        <v>120.5</v>
      </c>
      <c r="X115" s="39" t="s">
        <v>555</v>
      </c>
      <c r="Y115" s="118">
        <v>42641</v>
      </c>
      <c r="Z115" s="84">
        <v>130</v>
      </c>
      <c r="AA115" s="66" t="s">
        <v>827</v>
      </c>
      <c r="AB115" s="85">
        <v>42670</v>
      </c>
      <c r="AC115" s="86">
        <v>360</v>
      </c>
      <c r="AD115" s="55" t="s">
        <v>942</v>
      </c>
      <c r="AE115" s="87">
        <v>42701</v>
      </c>
      <c r="AF115" s="88">
        <v>136</v>
      </c>
      <c r="AG115" s="58" t="s">
        <v>1056</v>
      </c>
      <c r="AH115" s="121">
        <v>42726</v>
      </c>
      <c r="AI115" s="122">
        <v>5</v>
      </c>
      <c r="AJ115" s="62" t="s">
        <v>1162</v>
      </c>
    </row>
    <row r="116" spans="1:36" x14ac:dyDescent="0.25">
      <c r="A116" s="43"/>
      <c r="B116" s="44"/>
      <c r="C116" s="41"/>
      <c r="D116" s="43"/>
      <c r="E116" s="41"/>
      <c r="F116" s="41"/>
      <c r="G116" s="68"/>
      <c r="H116" s="69"/>
      <c r="I116" s="70"/>
      <c r="J116" s="43"/>
      <c r="P116" s="27"/>
      <c r="Q116" s="67"/>
      <c r="R116" s="27"/>
      <c r="S116" s="51"/>
      <c r="T116" s="75"/>
      <c r="U116" s="51"/>
      <c r="V116" s="79">
        <v>42610</v>
      </c>
      <c r="W116" s="80">
        <v>30</v>
      </c>
      <c r="X116" s="39" t="s">
        <v>711</v>
      </c>
      <c r="Y116" s="118">
        <v>42643</v>
      </c>
      <c r="Z116" s="84">
        <v>500</v>
      </c>
      <c r="AA116" s="66" t="s">
        <v>828</v>
      </c>
      <c r="AB116" s="85">
        <v>42670</v>
      </c>
      <c r="AC116" s="86">
        <v>5</v>
      </c>
      <c r="AD116" s="55" t="s">
        <v>943</v>
      </c>
      <c r="AE116" s="87">
        <v>42701</v>
      </c>
      <c r="AF116" s="88">
        <v>120</v>
      </c>
      <c r="AG116" s="58" t="s">
        <v>1057</v>
      </c>
      <c r="AH116" s="121">
        <v>42726</v>
      </c>
      <c r="AI116" s="122">
        <v>200</v>
      </c>
      <c r="AJ116" s="62" t="s">
        <v>1170</v>
      </c>
    </row>
    <row r="117" spans="1:36" x14ac:dyDescent="0.25">
      <c r="A117" s="43"/>
      <c r="B117" s="44"/>
      <c r="C117" s="41"/>
      <c r="D117" s="43"/>
      <c r="E117" s="41"/>
      <c r="F117" s="41"/>
      <c r="G117" s="68"/>
      <c r="H117" s="69"/>
      <c r="I117" s="70"/>
      <c r="J117" s="43"/>
      <c r="S117" s="51"/>
      <c r="T117" s="75"/>
      <c r="U117" s="51"/>
      <c r="V117" s="79">
        <v>42611</v>
      </c>
      <c r="W117" s="80">
        <v>450</v>
      </c>
      <c r="X117" s="39" t="s">
        <v>712</v>
      </c>
      <c r="Y117" s="118">
        <v>42643</v>
      </c>
      <c r="Z117" s="84">
        <v>450</v>
      </c>
      <c r="AA117" s="66" t="s">
        <v>829</v>
      </c>
      <c r="AB117" s="85">
        <v>42671</v>
      </c>
      <c r="AC117" s="86">
        <v>1000</v>
      </c>
      <c r="AD117" s="55" t="s">
        <v>944</v>
      </c>
      <c r="AE117" s="87">
        <v>42701</v>
      </c>
      <c r="AF117" s="88">
        <v>150</v>
      </c>
      <c r="AG117" s="58" t="s">
        <v>1058</v>
      </c>
      <c r="AH117" s="121">
        <v>42726</v>
      </c>
      <c r="AI117" s="122">
        <v>200</v>
      </c>
      <c r="AJ117" s="62" t="s">
        <v>1171</v>
      </c>
    </row>
    <row r="118" spans="1:36" x14ac:dyDescent="0.25">
      <c r="A118" s="43"/>
      <c r="B118" s="44"/>
      <c r="C118" s="41"/>
      <c r="D118" s="43"/>
      <c r="E118" s="41"/>
      <c r="F118" s="41"/>
      <c r="G118" s="43"/>
      <c r="H118" s="42"/>
      <c r="I118" s="41"/>
      <c r="J118" s="43"/>
      <c r="S118" s="51"/>
      <c r="T118" s="75"/>
      <c r="U118" s="51"/>
      <c r="V118" s="79">
        <v>42611</v>
      </c>
      <c r="W118" s="80">
        <v>300</v>
      </c>
      <c r="X118" s="39" t="s">
        <v>713</v>
      </c>
      <c r="Y118" s="118">
        <v>42643</v>
      </c>
      <c r="Z118" s="84">
        <v>350</v>
      </c>
      <c r="AA118" s="66" t="s">
        <v>830</v>
      </c>
      <c r="AB118" s="85">
        <v>42671</v>
      </c>
      <c r="AC118" s="86">
        <v>300</v>
      </c>
      <c r="AD118" s="55" t="s">
        <v>945</v>
      </c>
      <c r="AE118" s="87">
        <v>42701</v>
      </c>
      <c r="AF118" s="88">
        <v>300</v>
      </c>
      <c r="AG118" s="58" t="s">
        <v>1059</v>
      </c>
      <c r="AH118" s="121">
        <v>42727</v>
      </c>
      <c r="AI118" s="122">
        <v>1000</v>
      </c>
      <c r="AJ118" s="62" t="s">
        <v>1172</v>
      </c>
    </row>
    <row r="119" spans="1:36" x14ac:dyDescent="0.25">
      <c r="A119" s="43"/>
      <c r="B119" s="44"/>
      <c r="C119" s="41"/>
      <c r="D119" s="43"/>
      <c r="E119" s="41"/>
      <c r="F119" s="41"/>
      <c r="G119" s="43"/>
      <c r="H119" s="42"/>
      <c r="I119" s="41"/>
      <c r="J119" s="43"/>
      <c r="S119" s="51"/>
      <c r="T119" s="75"/>
      <c r="U119" s="51"/>
      <c r="V119" s="79">
        <v>42611</v>
      </c>
      <c r="W119" s="80">
        <v>270</v>
      </c>
      <c r="X119" s="39" t="s">
        <v>714</v>
      </c>
      <c r="Y119" s="118">
        <v>42643</v>
      </c>
      <c r="Z119" s="84">
        <v>180</v>
      </c>
      <c r="AA119" s="66" t="s">
        <v>831</v>
      </c>
      <c r="AB119" s="85">
        <v>42672</v>
      </c>
      <c r="AC119" s="86">
        <v>500</v>
      </c>
      <c r="AD119" s="55" t="s">
        <v>946</v>
      </c>
      <c r="AE119" s="87">
        <v>42701</v>
      </c>
      <c r="AF119" s="88">
        <v>340</v>
      </c>
      <c r="AG119" s="58" t="s">
        <v>802</v>
      </c>
      <c r="AH119" s="121">
        <v>42727</v>
      </c>
      <c r="AI119" s="122">
        <v>350</v>
      </c>
      <c r="AJ119" s="62" t="s">
        <v>1174</v>
      </c>
    </row>
    <row r="120" spans="1:36" x14ac:dyDescent="0.25">
      <c r="A120" s="43"/>
      <c r="B120" s="44"/>
      <c r="C120" s="41"/>
      <c r="D120" s="43"/>
      <c r="E120" s="41"/>
      <c r="F120" s="41"/>
      <c r="G120" s="43"/>
      <c r="H120" s="42"/>
      <c r="I120" s="41"/>
      <c r="J120" s="43"/>
      <c r="V120" s="79">
        <v>42611</v>
      </c>
      <c r="W120" s="80">
        <v>400</v>
      </c>
      <c r="X120" s="39" t="s">
        <v>715</v>
      </c>
      <c r="Y120" s="118">
        <v>42643</v>
      </c>
      <c r="Z120" s="84">
        <v>1000</v>
      </c>
      <c r="AA120" s="66" t="s">
        <v>832</v>
      </c>
      <c r="AB120" s="85">
        <v>42672</v>
      </c>
      <c r="AC120" s="86">
        <v>24</v>
      </c>
      <c r="AD120" s="55" t="s">
        <v>947</v>
      </c>
      <c r="AE120" s="87">
        <v>42702</v>
      </c>
      <c r="AF120" s="88">
        <v>400</v>
      </c>
      <c r="AG120" s="58" t="s">
        <v>1060</v>
      </c>
      <c r="AH120" s="121">
        <v>42727</v>
      </c>
      <c r="AI120" s="122">
        <v>600</v>
      </c>
      <c r="AJ120" s="62" t="s">
        <v>1175</v>
      </c>
    </row>
    <row r="121" spans="1:36" x14ac:dyDescent="0.25">
      <c r="A121" s="43"/>
      <c r="B121" s="44"/>
      <c r="C121" s="41"/>
      <c r="D121" s="43"/>
      <c r="E121" s="41"/>
      <c r="F121" s="41"/>
      <c r="G121" s="43"/>
      <c r="H121" s="42"/>
      <c r="I121" s="41"/>
      <c r="J121" s="43"/>
      <c r="V121" s="79">
        <v>42612</v>
      </c>
      <c r="W121" s="80">
        <v>280</v>
      </c>
      <c r="X121" s="39" t="s">
        <v>716</v>
      </c>
      <c r="Y121" s="118">
        <v>42643</v>
      </c>
      <c r="Z121" s="84">
        <v>500</v>
      </c>
      <c r="AA121" s="66" t="s">
        <v>833</v>
      </c>
      <c r="AB121" s="85">
        <v>42674</v>
      </c>
      <c r="AC121" s="86">
        <v>120</v>
      </c>
      <c r="AD121" s="55" t="s">
        <v>365</v>
      </c>
      <c r="AE121" s="87">
        <v>42702</v>
      </c>
      <c r="AF121" s="88">
        <v>100</v>
      </c>
      <c r="AG121" s="58" t="s">
        <v>1061</v>
      </c>
      <c r="AH121" s="121">
        <v>42727</v>
      </c>
      <c r="AI121" s="122">
        <v>600</v>
      </c>
      <c r="AJ121" s="62" t="s">
        <v>1175</v>
      </c>
    </row>
    <row r="122" spans="1:36" x14ac:dyDescent="0.25">
      <c r="A122" s="43"/>
      <c r="B122" s="44"/>
      <c r="C122" s="41"/>
      <c r="D122" s="43"/>
      <c r="E122" s="41"/>
      <c r="F122" s="41"/>
      <c r="G122" s="43"/>
      <c r="H122" s="42"/>
      <c r="I122" s="41"/>
      <c r="J122" s="43"/>
      <c r="V122" s="79">
        <v>42612</v>
      </c>
      <c r="W122" s="80">
        <v>500</v>
      </c>
      <c r="X122" s="39" t="s">
        <v>717</v>
      </c>
      <c r="Y122" s="118">
        <v>42643</v>
      </c>
      <c r="Z122" s="84">
        <v>350</v>
      </c>
      <c r="AA122" s="66" t="s">
        <v>834</v>
      </c>
      <c r="AB122" s="85">
        <v>42674</v>
      </c>
      <c r="AC122" s="86">
        <v>100</v>
      </c>
      <c r="AD122" s="55" t="s">
        <v>948</v>
      </c>
      <c r="AE122" s="87">
        <v>42702</v>
      </c>
      <c r="AF122" s="88">
        <v>220</v>
      </c>
      <c r="AG122" s="58" t="s">
        <v>1062</v>
      </c>
      <c r="AH122" s="121">
        <v>42728</v>
      </c>
      <c r="AI122" s="122">
        <v>245.2</v>
      </c>
      <c r="AJ122" s="62" t="s">
        <v>1176</v>
      </c>
    </row>
    <row r="123" spans="1:36" x14ac:dyDescent="0.25">
      <c r="A123" s="43"/>
      <c r="B123" s="44"/>
      <c r="C123" s="41"/>
      <c r="D123" s="43"/>
      <c r="E123" s="41"/>
      <c r="F123" s="41"/>
      <c r="G123" s="43"/>
      <c r="H123" s="42"/>
      <c r="I123" s="41"/>
      <c r="J123" s="43"/>
      <c r="V123" s="79">
        <v>42612</v>
      </c>
      <c r="W123" s="80">
        <v>350</v>
      </c>
      <c r="X123" s="39" t="s">
        <v>718</v>
      </c>
      <c r="Y123" s="118">
        <v>42643</v>
      </c>
      <c r="Z123" s="84">
        <v>100</v>
      </c>
      <c r="AA123" s="66" t="s">
        <v>835</v>
      </c>
      <c r="AB123" s="85">
        <v>42674</v>
      </c>
      <c r="AC123" s="86">
        <v>95.5</v>
      </c>
      <c r="AD123" s="55" t="s">
        <v>949</v>
      </c>
      <c r="AE123" s="87">
        <v>42702</v>
      </c>
      <c r="AF123" s="88">
        <v>320</v>
      </c>
      <c r="AG123" s="58" t="s">
        <v>746</v>
      </c>
      <c r="AH123" s="121">
        <v>42728</v>
      </c>
      <c r="AI123" s="122">
        <v>1500</v>
      </c>
      <c r="AJ123" s="62" t="s">
        <v>1177</v>
      </c>
    </row>
    <row r="124" spans="1:36" x14ac:dyDescent="0.25">
      <c r="A124" s="43"/>
      <c r="B124" s="44"/>
      <c r="C124" s="41"/>
      <c r="D124" s="43"/>
      <c r="E124" s="41"/>
      <c r="F124" s="41"/>
      <c r="G124" s="43"/>
      <c r="H124" s="42"/>
      <c r="I124" s="41"/>
      <c r="J124" s="43"/>
      <c r="V124" s="79">
        <v>42612</v>
      </c>
      <c r="W124" s="80">
        <v>350</v>
      </c>
      <c r="X124" s="39" t="s">
        <v>718</v>
      </c>
      <c r="Y124" s="118">
        <v>42643</v>
      </c>
      <c r="Z124" s="84">
        <v>509.49</v>
      </c>
      <c r="AA124" s="66" t="s">
        <v>836</v>
      </c>
      <c r="AB124" s="85">
        <v>42674</v>
      </c>
      <c r="AC124" s="86">
        <v>400</v>
      </c>
      <c r="AD124" s="55" t="s">
        <v>950</v>
      </c>
      <c r="AE124" s="87">
        <v>42703</v>
      </c>
      <c r="AF124" s="88">
        <v>1000</v>
      </c>
      <c r="AG124" s="58" t="s">
        <v>1063</v>
      </c>
      <c r="AH124" s="121">
        <v>42728</v>
      </c>
      <c r="AI124" s="122">
        <v>500</v>
      </c>
      <c r="AJ124" s="62" t="s">
        <v>1178</v>
      </c>
    </row>
    <row r="125" spans="1:36" x14ac:dyDescent="0.25">
      <c r="A125" s="43"/>
      <c r="B125" s="44"/>
      <c r="C125" s="41"/>
      <c r="D125" s="43"/>
      <c r="E125" s="41"/>
      <c r="F125" s="41"/>
      <c r="G125" s="43"/>
      <c r="H125" s="42"/>
      <c r="I125" s="41"/>
      <c r="J125" s="43"/>
      <c r="V125" s="79">
        <v>42612</v>
      </c>
      <c r="W125" s="80">
        <v>650</v>
      </c>
      <c r="X125" s="39" t="s">
        <v>719</v>
      </c>
      <c r="Y125" s="118">
        <v>42643</v>
      </c>
      <c r="Z125" s="84">
        <v>29000</v>
      </c>
      <c r="AA125" s="66" t="s">
        <v>837</v>
      </c>
      <c r="AB125" s="85">
        <v>42674</v>
      </c>
      <c r="AC125" s="86">
        <v>450</v>
      </c>
      <c r="AD125" s="55" t="s">
        <v>951</v>
      </c>
      <c r="AE125" s="87">
        <v>42703</v>
      </c>
      <c r="AF125" s="88">
        <v>840</v>
      </c>
      <c r="AG125" s="58" t="s">
        <v>1030</v>
      </c>
      <c r="AH125" s="121">
        <v>42728</v>
      </c>
      <c r="AI125" s="122">
        <v>200</v>
      </c>
      <c r="AJ125" s="62" t="s">
        <v>1179</v>
      </c>
    </row>
    <row r="126" spans="1:36" x14ac:dyDescent="0.25">
      <c r="A126" s="43"/>
      <c r="B126" s="44"/>
      <c r="C126" s="41"/>
      <c r="D126" s="43"/>
      <c r="E126" s="41"/>
      <c r="F126" s="41"/>
      <c r="G126" s="43"/>
      <c r="H126" s="42"/>
      <c r="I126" s="41"/>
      <c r="J126" s="43"/>
      <c r="V126" s="79">
        <v>42613</v>
      </c>
      <c r="W126" s="80">
        <v>2700</v>
      </c>
      <c r="X126" s="39" t="s">
        <v>720</v>
      </c>
      <c r="Y126" s="118">
        <v>42643</v>
      </c>
      <c r="Z126" s="84">
        <v>4000</v>
      </c>
      <c r="AA126" s="66" t="s">
        <v>838</v>
      </c>
      <c r="AB126" s="85">
        <v>42674</v>
      </c>
      <c r="AC126" s="86">
        <v>300</v>
      </c>
      <c r="AD126" s="55" t="s">
        <v>952</v>
      </c>
      <c r="AE126" s="87">
        <v>42703</v>
      </c>
      <c r="AF126" s="88">
        <v>200</v>
      </c>
      <c r="AG126" s="58" t="s">
        <v>1064</v>
      </c>
      <c r="AH126" s="121">
        <v>42728</v>
      </c>
      <c r="AI126" s="122">
        <v>1360</v>
      </c>
      <c r="AJ126" s="62" t="s">
        <v>1180</v>
      </c>
    </row>
    <row r="127" spans="1:36" x14ac:dyDescent="0.25">
      <c r="A127" s="43"/>
      <c r="B127" s="44"/>
      <c r="C127" s="41"/>
      <c r="D127" s="43"/>
      <c r="E127" s="41"/>
      <c r="F127" s="41"/>
      <c r="G127" s="43"/>
      <c r="H127" s="42"/>
      <c r="I127" s="41"/>
      <c r="J127" s="43"/>
      <c r="V127" s="79">
        <v>42613</v>
      </c>
      <c r="W127" s="80">
        <v>4000</v>
      </c>
      <c r="X127" s="39" t="s">
        <v>721</v>
      </c>
      <c r="Y127" s="118"/>
      <c r="Z127" s="84"/>
      <c r="AA127" s="66"/>
      <c r="AB127" s="85">
        <v>42674</v>
      </c>
      <c r="AC127" s="86">
        <v>450</v>
      </c>
      <c r="AD127" s="55" t="s">
        <v>953</v>
      </c>
      <c r="AE127" s="87">
        <v>42703</v>
      </c>
      <c r="AF127" s="88">
        <v>65</v>
      </c>
      <c r="AG127" s="58" t="s">
        <v>1065</v>
      </c>
      <c r="AH127" s="121">
        <v>42728</v>
      </c>
      <c r="AI127" s="122">
        <v>23</v>
      </c>
      <c r="AJ127" s="62" t="s">
        <v>1181</v>
      </c>
    </row>
    <row r="128" spans="1:36" x14ac:dyDescent="0.25">
      <c r="A128" s="43"/>
      <c r="B128" s="44"/>
      <c r="C128" s="41"/>
      <c r="D128" s="43"/>
      <c r="E128" s="41"/>
      <c r="F128" s="41"/>
      <c r="G128" s="43"/>
      <c r="H128" s="42"/>
      <c r="I128" s="41"/>
      <c r="J128" s="43"/>
      <c r="V128" s="79"/>
      <c r="W128" s="80"/>
      <c r="X128" s="39"/>
      <c r="Y128" s="118"/>
      <c r="Z128" s="84"/>
      <c r="AA128" s="66"/>
      <c r="AB128" s="85">
        <v>42674</v>
      </c>
      <c r="AC128" s="86">
        <v>320</v>
      </c>
      <c r="AD128" s="55" t="s">
        <v>863</v>
      </c>
      <c r="AE128" s="87">
        <v>42703</v>
      </c>
      <c r="AF128" s="88">
        <v>279.60000000000002</v>
      </c>
      <c r="AG128" s="58" t="s">
        <v>1066</v>
      </c>
      <c r="AH128" s="121">
        <v>42729</v>
      </c>
      <c r="AI128" s="122">
        <v>280</v>
      </c>
      <c r="AJ128" s="62" t="s">
        <v>1182</v>
      </c>
    </row>
    <row r="129" spans="1:36" x14ac:dyDescent="0.25">
      <c r="A129" s="43"/>
      <c r="B129" s="44"/>
      <c r="C129" s="41"/>
      <c r="D129" s="43"/>
      <c r="E129" s="41"/>
      <c r="F129" s="41"/>
      <c r="G129" s="43"/>
      <c r="H129" s="42"/>
      <c r="I129" s="41"/>
      <c r="J129" s="43"/>
      <c r="V129" s="79"/>
      <c r="W129" s="80"/>
      <c r="X129" s="39"/>
      <c r="Y129" s="118"/>
      <c r="Z129" s="84"/>
      <c r="AA129" s="66"/>
      <c r="AB129" s="85">
        <v>42674</v>
      </c>
      <c r="AC129" s="86">
        <v>128</v>
      </c>
      <c r="AD129" s="55" t="s">
        <v>954</v>
      </c>
      <c r="AE129" s="87">
        <v>42703</v>
      </c>
      <c r="AF129" s="88">
        <v>100</v>
      </c>
      <c r="AG129" s="58" t="s">
        <v>1067</v>
      </c>
      <c r="AH129" s="121">
        <v>42729</v>
      </c>
      <c r="AI129" s="122">
        <v>500</v>
      </c>
      <c r="AJ129" s="62" t="s">
        <v>1183</v>
      </c>
    </row>
    <row r="130" spans="1:36" x14ac:dyDescent="0.25">
      <c r="A130" s="43"/>
      <c r="B130" s="44"/>
      <c r="C130" s="41"/>
      <c r="D130" s="43"/>
      <c r="E130" s="41"/>
      <c r="F130" s="41"/>
      <c r="G130" s="43"/>
      <c r="H130" s="42"/>
      <c r="I130" s="41"/>
      <c r="J130" s="43"/>
      <c r="V130" s="79"/>
      <c r="W130" s="80"/>
      <c r="X130" s="39"/>
      <c r="Y130" s="119"/>
      <c r="Z130" s="84"/>
      <c r="AA130" s="66"/>
      <c r="AB130" s="85">
        <v>42674</v>
      </c>
      <c r="AC130" s="86">
        <v>379.91</v>
      </c>
      <c r="AD130" s="55" t="s">
        <v>955</v>
      </c>
      <c r="AE130" s="87">
        <v>42704</v>
      </c>
      <c r="AF130" s="88">
        <v>22</v>
      </c>
      <c r="AG130" s="58" t="s">
        <v>1068</v>
      </c>
      <c r="AH130" s="121">
        <v>42729</v>
      </c>
      <c r="AI130" s="122">
        <v>100</v>
      </c>
      <c r="AJ130" s="62" t="s">
        <v>1184</v>
      </c>
    </row>
    <row r="131" spans="1:36" x14ac:dyDescent="0.25">
      <c r="A131" s="43"/>
      <c r="B131" s="44"/>
      <c r="C131" s="41"/>
      <c r="D131" s="43"/>
      <c r="E131" s="41"/>
      <c r="F131" s="41"/>
      <c r="G131" s="43"/>
      <c r="H131" s="42"/>
      <c r="I131" s="41"/>
      <c r="J131" s="43"/>
      <c r="V131" s="79"/>
      <c r="W131" s="80"/>
      <c r="X131" s="39"/>
      <c r="Y131" s="119"/>
      <c r="Z131" s="84"/>
      <c r="AA131" s="66"/>
      <c r="AB131" s="85">
        <v>42674</v>
      </c>
      <c r="AC131" s="86">
        <v>19000</v>
      </c>
      <c r="AD131" s="55" t="s">
        <v>956</v>
      </c>
      <c r="AE131" s="87">
        <v>42704</v>
      </c>
      <c r="AF131" s="88">
        <v>14500</v>
      </c>
      <c r="AG131" s="58" t="s">
        <v>1069</v>
      </c>
      <c r="AH131" s="121">
        <v>42729</v>
      </c>
      <c r="AI131" s="122">
        <v>102.5</v>
      </c>
      <c r="AJ131" s="62" t="s">
        <v>794</v>
      </c>
    </row>
    <row r="132" spans="1:36" x14ac:dyDescent="0.25">
      <c r="A132" s="43"/>
      <c r="B132" s="44"/>
      <c r="C132" s="41"/>
      <c r="D132" s="43"/>
      <c r="E132" s="41"/>
      <c r="F132" s="41"/>
      <c r="G132" s="43"/>
      <c r="H132" s="42"/>
      <c r="I132" s="41"/>
      <c r="J132" s="43"/>
      <c r="Y132" s="119"/>
      <c r="Z132" s="84"/>
      <c r="AA132" s="66"/>
      <c r="AB132" s="85">
        <v>42674</v>
      </c>
      <c r="AC132" s="86">
        <v>4000</v>
      </c>
      <c r="AD132" s="55" t="s">
        <v>957</v>
      </c>
      <c r="AE132" s="87">
        <v>42704</v>
      </c>
      <c r="AF132" s="88">
        <v>450</v>
      </c>
      <c r="AG132" s="58" t="s">
        <v>1070</v>
      </c>
      <c r="AH132" s="121">
        <v>42729</v>
      </c>
      <c r="AI132" s="122">
        <v>310</v>
      </c>
      <c r="AJ132" s="62" t="s">
        <v>1185</v>
      </c>
    </row>
    <row r="133" spans="1:36" x14ac:dyDescent="0.25">
      <c r="A133" s="43"/>
      <c r="B133" s="44"/>
      <c r="C133" s="41"/>
      <c r="D133" s="43"/>
      <c r="E133" s="41"/>
      <c r="F133" s="41"/>
      <c r="G133" s="43"/>
      <c r="H133" s="42"/>
      <c r="I133" s="41"/>
      <c r="J133" s="43"/>
      <c r="Y133" s="119"/>
      <c r="Z133" s="84"/>
      <c r="AA133" s="66"/>
      <c r="AB133" s="55"/>
      <c r="AC133" s="86"/>
      <c r="AD133" s="55"/>
      <c r="AE133" s="87">
        <v>42704</v>
      </c>
      <c r="AF133" s="88">
        <v>300</v>
      </c>
      <c r="AG133" s="58" t="s">
        <v>1073</v>
      </c>
      <c r="AH133" s="121">
        <v>42731</v>
      </c>
      <c r="AI133" s="122">
        <v>3900</v>
      </c>
      <c r="AJ133" s="62" t="s">
        <v>1187</v>
      </c>
    </row>
    <row r="134" spans="1:36" x14ac:dyDescent="0.25">
      <c r="A134" s="43"/>
      <c r="B134" s="44"/>
      <c r="C134" s="41"/>
      <c r="D134" s="43"/>
      <c r="E134" s="41"/>
      <c r="F134" s="41"/>
      <c r="G134" s="43"/>
      <c r="H134" s="42"/>
      <c r="I134" s="41"/>
      <c r="J134" s="43"/>
      <c r="Y134" s="119"/>
      <c r="Z134" s="84"/>
      <c r="AA134" s="66"/>
      <c r="AE134" s="87">
        <v>42704</v>
      </c>
      <c r="AF134" s="88">
        <v>28</v>
      </c>
      <c r="AG134" s="58" t="s">
        <v>1071</v>
      </c>
      <c r="AH134" s="121">
        <v>42731</v>
      </c>
      <c r="AI134" s="122">
        <v>350</v>
      </c>
      <c r="AJ134" s="62" t="s">
        <v>1188</v>
      </c>
    </row>
    <row r="135" spans="1:36" x14ac:dyDescent="0.25">
      <c r="A135" s="43"/>
      <c r="B135" s="44"/>
      <c r="C135" s="41"/>
      <c r="D135" s="43"/>
      <c r="E135" s="41"/>
      <c r="F135" s="41"/>
      <c r="G135" s="43"/>
      <c r="H135" s="42"/>
      <c r="I135" s="41"/>
      <c r="J135" s="43"/>
      <c r="Y135" s="120"/>
      <c r="AE135" s="87">
        <v>42704</v>
      </c>
      <c r="AF135" s="88">
        <v>4000</v>
      </c>
      <c r="AG135" s="58" t="s">
        <v>1072</v>
      </c>
      <c r="AH135" s="121">
        <v>42731</v>
      </c>
      <c r="AI135" s="122">
        <v>350</v>
      </c>
      <c r="AJ135" s="62" t="s">
        <v>1189</v>
      </c>
    </row>
    <row r="136" spans="1:36" x14ac:dyDescent="0.25">
      <c r="A136" s="43"/>
      <c r="B136" s="44"/>
      <c r="C136" s="41"/>
      <c r="D136" s="43"/>
      <c r="E136" s="41"/>
      <c r="F136" s="41"/>
      <c r="G136" s="43"/>
      <c r="H136" s="42"/>
      <c r="I136" s="41"/>
      <c r="J136" s="43"/>
      <c r="Y136" s="120"/>
      <c r="AE136" s="58"/>
      <c r="AF136" s="88"/>
      <c r="AG136" s="58"/>
      <c r="AH136" s="121">
        <v>42732</v>
      </c>
      <c r="AI136" s="122">
        <v>150</v>
      </c>
      <c r="AJ136" s="62" t="s">
        <v>1190</v>
      </c>
    </row>
    <row r="137" spans="1:36" x14ac:dyDescent="0.25">
      <c r="A137" s="43"/>
      <c r="B137" s="44"/>
      <c r="C137" s="41"/>
      <c r="D137" s="43"/>
      <c r="E137" s="41"/>
      <c r="F137" s="41"/>
      <c r="G137" s="43"/>
      <c r="H137" s="42"/>
      <c r="I137" s="41"/>
      <c r="J137" s="43"/>
      <c r="Y137" s="120"/>
      <c r="AH137" s="121">
        <v>42732</v>
      </c>
      <c r="AI137" s="122">
        <v>150</v>
      </c>
      <c r="AJ137" s="62" t="s">
        <v>1191</v>
      </c>
    </row>
    <row r="138" spans="1:36" x14ac:dyDescent="0.25">
      <c r="A138" s="43"/>
      <c r="B138" s="44"/>
      <c r="C138" s="41"/>
      <c r="D138" s="43"/>
      <c r="E138" s="41"/>
      <c r="F138" s="41"/>
      <c r="G138" s="43"/>
      <c r="H138" s="42"/>
      <c r="I138" s="41"/>
      <c r="J138" s="43"/>
      <c r="AH138" s="121">
        <v>42733</v>
      </c>
      <c r="AI138" s="122">
        <v>360.26</v>
      </c>
      <c r="AJ138" s="62" t="s">
        <v>1196</v>
      </c>
    </row>
    <row r="139" spans="1:36" x14ac:dyDescent="0.25">
      <c r="A139" s="43"/>
      <c r="B139" s="44"/>
      <c r="C139" s="41"/>
      <c r="D139" s="43"/>
      <c r="E139" s="41"/>
      <c r="F139" s="41"/>
      <c r="G139" s="43"/>
      <c r="H139" s="42"/>
      <c r="I139" s="41"/>
      <c r="J139" s="43"/>
      <c r="AH139" s="121">
        <v>42733</v>
      </c>
      <c r="AI139" s="122">
        <v>390</v>
      </c>
      <c r="AJ139" s="62" t="s">
        <v>1197</v>
      </c>
    </row>
    <row r="140" spans="1:36" x14ac:dyDescent="0.25">
      <c r="A140" s="43"/>
      <c r="B140" s="44"/>
      <c r="C140" s="41"/>
      <c r="D140" s="43"/>
      <c r="E140" s="41"/>
      <c r="F140" s="41"/>
      <c r="G140" s="43"/>
      <c r="H140" s="42"/>
      <c r="I140" s="41"/>
      <c r="J140" s="43"/>
      <c r="AH140" s="121">
        <v>42733</v>
      </c>
      <c r="AI140" s="122">
        <v>143</v>
      </c>
      <c r="AJ140" s="62" t="s">
        <v>1199</v>
      </c>
    </row>
    <row r="141" spans="1:36" x14ac:dyDescent="0.25">
      <c r="A141" s="43"/>
      <c r="B141" s="44"/>
      <c r="C141" s="41"/>
      <c r="D141" s="43"/>
      <c r="E141" s="41"/>
      <c r="F141" s="41"/>
      <c r="G141" s="43"/>
      <c r="H141" s="42"/>
      <c r="I141" s="41"/>
      <c r="J141" s="43"/>
      <c r="AH141" s="121">
        <v>42733</v>
      </c>
      <c r="AI141" s="122">
        <v>86</v>
      </c>
      <c r="AJ141" s="62" t="s">
        <v>1198</v>
      </c>
    </row>
    <row r="142" spans="1:36" x14ac:dyDescent="0.25">
      <c r="A142" s="43"/>
      <c r="B142" s="44"/>
      <c r="C142" s="41"/>
      <c r="D142" s="43"/>
      <c r="E142" s="41"/>
      <c r="F142" s="41"/>
      <c r="G142" s="43"/>
      <c r="H142" s="42"/>
      <c r="I142" s="41"/>
      <c r="J142" s="43"/>
      <c r="AH142" s="121">
        <v>42733</v>
      </c>
      <c r="AI142" s="122">
        <v>197</v>
      </c>
      <c r="AJ142" s="62" t="s">
        <v>1200</v>
      </c>
    </row>
    <row r="143" spans="1:36" x14ac:dyDescent="0.25">
      <c r="A143" s="43"/>
      <c r="B143" s="44"/>
      <c r="C143" s="41"/>
      <c r="D143" s="43"/>
      <c r="E143" s="41"/>
      <c r="F143" s="41"/>
      <c r="G143" s="43"/>
      <c r="H143" s="42"/>
      <c r="I143" s="41"/>
      <c r="J143" s="43"/>
      <c r="AH143" s="121">
        <v>42733</v>
      </c>
      <c r="AI143" s="122">
        <v>25.5</v>
      </c>
      <c r="AJ143" s="62" t="s">
        <v>1201</v>
      </c>
    </row>
    <row r="144" spans="1:36" x14ac:dyDescent="0.25">
      <c r="A144" s="43"/>
      <c r="B144" s="44"/>
      <c r="C144" s="41"/>
      <c r="D144" s="43"/>
      <c r="E144" s="41"/>
      <c r="F144" s="41"/>
      <c r="G144" s="43"/>
      <c r="H144" s="42"/>
      <c r="I144" s="41"/>
      <c r="J144" s="43"/>
      <c r="AH144" s="121">
        <v>42734</v>
      </c>
      <c r="AI144" s="122">
        <v>174.5</v>
      </c>
      <c r="AJ144" s="62" t="s">
        <v>1120</v>
      </c>
    </row>
    <row r="145" spans="1:36" x14ac:dyDescent="0.25">
      <c r="A145" s="43"/>
      <c r="B145" s="44"/>
      <c r="C145" s="41"/>
      <c r="D145" s="43"/>
      <c r="E145" s="41"/>
      <c r="F145" s="41"/>
      <c r="G145" s="43"/>
      <c r="H145" s="42"/>
      <c r="I145" s="41"/>
      <c r="J145" s="43"/>
      <c r="AH145" s="121">
        <v>42734</v>
      </c>
      <c r="AI145" s="122">
        <v>400</v>
      </c>
      <c r="AJ145" s="62" t="s">
        <v>1202</v>
      </c>
    </row>
    <row r="146" spans="1:36" x14ac:dyDescent="0.25">
      <c r="A146" s="43"/>
      <c r="B146" s="44"/>
      <c r="C146" s="41"/>
      <c r="D146" s="43"/>
      <c r="E146" s="41"/>
      <c r="F146" s="41"/>
      <c r="G146" s="43"/>
      <c r="H146" s="42"/>
      <c r="I146" s="41"/>
      <c r="J146" s="43"/>
      <c r="AH146" s="121">
        <v>42734</v>
      </c>
      <c r="AI146" s="122">
        <v>1000</v>
      </c>
      <c r="AJ146" s="62" t="s">
        <v>1203</v>
      </c>
    </row>
    <row r="147" spans="1:36" x14ac:dyDescent="0.25">
      <c r="A147" s="43"/>
      <c r="B147" s="44"/>
      <c r="C147" s="41"/>
      <c r="D147" s="43"/>
      <c r="E147" s="41"/>
      <c r="F147" s="41"/>
      <c r="G147" s="43"/>
      <c r="H147" s="42"/>
      <c r="I147" s="41"/>
      <c r="J147" s="43"/>
      <c r="AH147" s="121">
        <v>42735</v>
      </c>
      <c r="AI147" s="122">
        <v>1413</v>
      </c>
      <c r="AJ147" s="62" t="s">
        <v>1204</v>
      </c>
    </row>
    <row r="148" spans="1:36" x14ac:dyDescent="0.25">
      <c r="A148" s="43"/>
      <c r="B148" s="44"/>
      <c r="C148" s="41"/>
      <c r="D148" s="43"/>
      <c r="E148" s="41"/>
      <c r="F148" s="41"/>
      <c r="G148" s="43"/>
      <c r="H148" s="42"/>
      <c r="I148" s="41"/>
      <c r="J148" s="43"/>
      <c r="AH148" s="121">
        <v>42735</v>
      </c>
      <c r="AI148" s="122">
        <v>500</v>
      </c>
      <c r="AJ148" s="62" t="s">
        <v>1205</v>
      </c>
    </row>
    <row r="149" spans="1:36" x14ac:dyDescent="0.25">
      <c r="A149" s="43"/>
      <c r="B149" s="44"/>
      <c r="C149" s="41"/>
      <c r="D149" s="43"/>
      <c r="E149" s="41"/>
      <c r="F149" s="41"/>
      <c r="G149" s="43"/>
      <c r="H149" s="42"/>
      <c r="I149" s="41"/>
      <c r="J149" s="43"/>
      <c r="AH149" s="121">
        <v>42735</v>
      </c>
      <c r="AI149" s="122">
        <v>200</v>
      </c>
      <c r="AJ149" s="62" t="s">
        <v>1206</v>
      </c>
    </row>
    <row r="150" spans="1:36" x14ac:dyDescent="0.25">
      <c r="A150" s="43"/>
      <c r="B150" s="44"/>
      <c r="C150" s="41"/>
      <c r="D150" s="43"/>
      <c r="E150" s="41"/>
      <c r="F150" s="41"/>
      <c r="G150" s="43"/>
      <c r="H150" s="42"/>
      <c r="I150" s="41"/>
      <c r="J150" s="43"/>
      <c r="AH150" s="121">
        <v>42735</v>
      </c>
      <c r="AI150" s="122">
        <v>450</v>
      </c>
      <c r="AJ150" s="62" t="s">
        <v>1192</v>
      </c>
    </row>
    <row r="151" spans="1:36" x14ac:dyDescent="0.25">
      <c r="A151" s="43"/>
      <c r="B151" s="44"/>
      <c r="C151" s="41"/>
      <c r="D151" s="43"/>
      <c r="E151" s="41"/>
      <c r="F151" s="41"/>
      <c r="G151" s="43"/>
      <c r="H151" s="42"/>
      <c r="I151" s="41"/>
      <c r="J151" s="43"/>
      <c r="AH151" s="121">
        <v>42735</v>
      </c>
      <c r="AI151" s="122">
        <v>500</v>
      </c>
      <c r="AJ151" s="62" t="s">
        <v>1186</v>
      </c>
    </row>
    <row r="152" spans="1:36" x14ac:dyDescent="0.25">
      <c r="A152" s="43"/>
      <c r="B152" s="44"/>
      <c r="C152" s="41"/>
      <c r="D152" s="43"/>
      <c r="E152" s="41"/>
      <c r="F152" s="41"/>
      <c r="G152" s="43"/>
      <c r="H152" s="42"/>
      <c r="I152" s="41"/>
      <c r="J152" s="43"/>
      <c r="AH152" s="121">
        <v>42735</v>
      </c>
      <c r="AI152" s="122">
        <v>300</v>
      </c>
      <c r="AJ152" s="62" t="s">
        <v>1193</v>
      </c>
    </row>
    <row r="153" spans="1:36" x14ac:dyDescent="0.25">
      <c r="A153" s="43"/>
      <c r="B153" s="44"/>
      <c r="C153" s="41"/>
      <c r="D153" s="43"/>
      <c r="E153" s="41"/>
      <c r="F153" s="41"/>
      <c r="G153" s="43"/>
      <c r="H153" s="42"/>
      <c r="I153" s="41"/>
      <c r="J153" s="43"/>
      <c r="AH153" s="121">
        <v>42735</v>
      </c>
      <c r="AI153" s="122">
        <v>29000</v>
      </c>
      <c r="AJ153" s="62" t="s">
        <v>1194</v>
      </c>
    </row>
    <row r="154" spans="1:36" x14ac:dyDescent="0.25">
      <c r="A154" s="43"/>
      <c r="B154" s="44"/>
      <c r="C154" s="41"/>
      <c r="D154" s="43"/>
      <c r="E154" s="41"/>
      <c r="F154" s="41"/>
      <c r="G154" s="43"/>
      <c r="H154" s="42"/>
      <c r="I154" s="41"/>
      <c r="J154" s="43"/>
      <c r="AH154" s="121">
        <v>42735</v>
      </c>
      <c r="AI154" s="122">
        <v>4000</v>
      </c>
      <c r="AJ154" s="62" t="s">
        <v>1195</v>
      </c>
    </row>
    <row r="155" spans="1:36" x14ac:dyDescent="0.25">
      <c r="A155" s="43"/>
      <c r="B155" s="44"/>
      <c r="C155" s="41"/>
      <c r="D155" s="43"/>
      <c r="E155" s="41"/>
      <c r="F155" s="41"/>
      <c r="G155" s="43"/>
      <c r="H155" s="42"/>
      <c r="I155" s="41"/>
      <c r="J155" s="43"/>
      <c r="AH155" s="62"/>
      <c r="AI155" s="122"/>
      <c r="AJ155" s="62"/>
    </row>
    <row r="156" spans="1:36" x14ac:dyDescent="0.25">
      <c r="A156" s="43"/>
      <c r="B156" s="44"/>
      <c r="C156" s="41"/>
      <c r="D156" s="43"/>
      <c r="E156" s="41"/>
      <c r="F156" s="41"/>
      <c r="G156" s="43"/>
      <c r="H156" s="42"/>
      <c r="I156" s="41"/>
      <c r="J156" s="43"/>
      <c r="AH156" s="62"/>
      <c r="AI156" s="122"/>
      <c r="AJ156" s="62"/>
    </row>
    <row r="157" spans="1:36" x14ac:dyDescent="0.25">
      <c r="A157" s="43"/>
      <c r="B157" s="44"/>
      <c r="C157" s="41"/>
      <c r="D157" s="43"/>
      <c r="E157" s="41"/>
      <c r="F157" s="41"/>
      <c r="G157" s="43"/>
      <c r="H157" s="42"/>
      <c r="I157" s="41"/>
      <c r="J157" s="43"/>
      <c r="AH157" s="62"/>
      <c r="AI157" s="122"/>
      <c r="AJ157" s="62"/>
    </row>
    <row r="158" spans="1:36" x14ac:dyDescent="0.25">
      <c r="A158" s="43"/>
      <c r="B158" s="44"/>
      <c r="C158" s="41"/>
      <c r="D158" s="43"/>
      <c r="E158" s="41"/>
      <c r="F158" s="41"/>
      <c r="G158" s="43"/>
      <c r="H158" s="42"/>
      <c r="I158" s="41"/>
      <c r="J158" s="43"/>
      <c r="AH158" s="62"/>
      <c r="AI158" s="122"/>
      <c r="AJ158" s="62"/>
    </row>
    <row r="159" spans="1:36" x14ac:dyDescent="0.25">
      <c r="A159" s="43"/>
      <c r="B159" s="44"/>
      <c r="C159" s="41"/>
      <c r="D159" s="43"/>
      <c r="E159" s="41"/>
      <c r="F159" s="41"/>
      <c r="G159" s="43"/>
      <c r="H159" s="42"/>
      <c r="I159" s="41"/>
      <c r="J159" s="43"/>
      <c r="AH159" s="62"/>
      <c r="AI159" s="122"/>
      <c r="AJ159" s="62"/>
    </row>
    <row r="160" spans="1:36" x14ac:dyDescent="0.25">
      <c r="A160" s="43"/>
      <c r="B160" s="44"/>
      <c r="C160" s="41"/>
      <c r="D160" s="43"/>
      <c r="E160" s="41"/>
      <c r="F160" s="41"/>
      <c r="G160" s="43"/>
      <c r="H160" s="42"/>
      <c r="I160" s="41"/>
      <c r="J160" s="43"/>
      <c r="AH160" s="62"/>
      <c r="AI160" s="122"/>
      <c r="AJ160" s="62"/>
    </row>
    <row r="161" spans="1:36" x14ac:dyDescent="0.25">
      <c r="A161" s="43"/>
      <c r="B161" s="44"/>
      <c r="C161" s="41"/>
      <c r="D161" s="43"/>
      <c r="E161" s="41"/>
      <c r="F161" s="41"/>
      <c r="G161" s="43"/>
      <c r="H161" s="42"/>
      <c r="I161" s="41"/>
      <c r="J161" s="43"/>
      <c r="AH161" s="62"/>
      <c r="AI161" s="122"/>
      <c r="AJ161" s="62"/>
    </row>
    <row r="162" spans="1:36" x14ac:dyDescent="0.25">
      <c r="A162" s="43"/>
      <c r="B162" s="44"/>
      <c r="C162" s="41"/>
      <c r="D162" s="43"/>
      <c r="E162" s="41"/>
      <c r="F162" s="41"/>
      <c r="G162" s="43"/>
      <c r="H162" s="42"/>
      <c r="I162" s="41"/>
      <c r="J162" s="43"/>
      <c r="AH162" s="62"/>
      <c r="AI162" s="122"/>
      <c r="AJ162" s="62"/>
    </row>
    <row r="163" spans="1:36" x14ac:dyDescent="0.25">
      <c r="A163" s="43"/>
      <c r="B163" s="44"/>
      <c r="C163" s="41"/>
      <c r="D163" s="43"/>
      <c r="E163" s="41"/>
      <c r="F163" s="41"/>
      <c r="G163" s="43"/>
      <c r="H163" s="42"/>
      <c r="I163" s="41"/>
      <c r="J163" s="43"/>
      <c r="AH163" s="62"/>
      <c r="AI163" s="122"/>
      <c r="AJ163" s="62"/>
    </row>
    <row r="164" spans="1:36" x14ac:dyDescent="0.25">
      <c r="A164" s="43"/>
      <c r="B164" s="44"/>
      <c r="C164" s="41"/>
      <c r="D164" s="43"/>
      <c r="E164" s="41"/>
      <c r="F164" s="41"/>
      <c r="G164" s="43"/>
      <c r="H164" s="42"/>
      <c r="I164" s="41"/>
      <c r="J164" s="43"/>
      <c r="AH164" s="62"/>
      <c r="AI164" s="122"/>
      <c r="AJ164" s="62"/>
    </row>
    <row r="165" spans="1:36" x14ac:dyDescent="0.25">
      <c r="A165" s="43"/>
      <c r="B165" s="44"/>
      <c r="C165" s="41"/>
      <c r="D165" s="43"/>
      <c r="E165" s="41"/>
      <c r="F165" s="41"/>
      <c r="G165" s="43"/>
      <c r="H165" s="42"/>
      <c r="I165" s="41"/>
      <c r="J165" s="43"/>
      <c r="AH165" s="62"/>
      <c r="AI165" s="122"/>
      <c r="AJ165" s="62"/>
    </row>
    <row r="166" spans="1:36" x14ac:dyDescent="0.25">
      <c r="A166" s="43"/>
      <c r="B166" s="44"/>
      <c r="C166" s="41"/>
      <c r="D166" s="43"/>
      <c r="E166" s="41"/>
      <c r="F166" s="41"/>
      <c r="G166" s="43"/>
      <c r="H166" s="42"/>
      <c r="I166" s="41"/>
      <c r="J166" s="43"/>
      <c r="AH166" s="62"/>
      <c r="AI166" s="122"/>
      <c r="AJ166" s="62"/>
    </row>
    <row r="167" spans="1:36" x14ac:dyDescent="0.25">
      <c r="A167" s="43"/>
      <c r="B167" s="44"/>
      <c r="C167" s="41"/>
      <c r="D167" s="43"/>
      <c r="E167" s="41"/>
      <c r="F167" s="41"/>
      <c r="G167" s="43"/>
      <c r="H167" s="42"/>
      <c r="I167" s="41"/>
      <c r="J167" s="43"/>
      <c r="AH167" s="62"/>
      <c r="AI167" s="122"/>
      <c r="AJ167" s="62"/>
    </row>
    <row r="168" spans="1:36" x14ac:dyDescent="0.25">
      <c r="A168" s="43"/>
      <c r="B168" s="44"/>
      <c r="C168" s="41"/>
      <c r="D168" s="43"/>
      <c r="E168" s="41"/>
      <c r="F168" s="41"/>
      <c r="G168" s="43"/>
      <c r="H168" s="42"/>
      <c r="I168" s="41"/>
      <c r="J168" s="43"/>
      <c r="AH168" s="62"/>
      <c r="AI168" s="122"/>
      <c r="AJ168" s="62"/>
    </row>
    <row r="169" spans="1:36" x14ac:dyDescent="0.25">
      <c r="A169" s="43"/>
      <c r="B169" s="44"/>
      <c r="C169" s="41"/>
      <c r="D169" s="43"/>
      <c r="E169" s="41"/>
      <c r="F169" s="41"/>
      <c r="G169" s="43"/>
      <c r="H169" s="42"/>
      <c r="I169" s="41"/>
      <c r="J169" s="43"/>
      <c r="AH169" s="62"/>
      <c r="AI169" s="122"/>
      <c r="AJ169" s="62"/>
    </row>
    <row r="170" spans="1:36" x14ac:dyDescent="0.25">
      <c r="A170" s="43"/>
      <c r="B170" s="44"/>
      <c r="C170" s="41"/>
      <c r="D170" s="43"/>
      <c r="E170" s="41"/>
      <c r="F170" s="41"/>
      <c r="G170" s="43"/>
      <c r="H170" s="42"/>
      <c r="I170" s="41"/>
      <c r="J170" s="43"/>
      <c r="AH170" s="62"/>
      <c r="AI170" s="122"/>
      <c r="AJ170" s="62"/>
    </row>
    <row r="171" spans="1:36" x14ac:dyDescent="0.25">
      <c r="A171" s="43"/>
      <c r="B171" s="44"/>
      <c r="C171" s="41"/>
      <c r="D171" s="43"/>
      <c r="E171" s="41"/>
      <c r="F171" s="41"/>
      <c r="G171" s="43"/>
      <c r="H171" s="42"/>
      <c r="I171" s="41"/>
      <c r="J171" s="43"/>
      <c r="AH171" s="62"/>
      <c r="AI171" s="122"/>
      <c r="AJ171" s="62"/>
    </row>
    <row r="172" spans="1:36" x14ac:dyDescent="0.25">
      <c r="A172" s="43"/>
      <c r="B172" s="44"/>
      <c r="C172" s="41"/>
      <c r="D172" s="43"/>
      <c r="E172" s="41"/>
      <c r="F172" s="41"/>
      <c r="G172" s="43"/>
      <c r="H172" s="42"/>
      <c r="I172" s="41"/>
      <c r="J172" s="43"/>
      <c r="AH172" s="62"/>
      <c r="AI172" s="122"/>
      <c r="AJ172" s="62"/>
    </row>
    <row r="173" spans="1:36" x14ac:dyDescent="0.25">
      <c r="A173" s="43"/>
      <c r="B173" s="44"/>
      <c r="C173" s="41"/>
      <c r="D173" s="43"/>
      <c r="E173" s="41"/>
      <c r="F173" s="41"/>
      <c r="G173" s="43"/>
      <c r="H173" s="42"/>
      <c r="I173" s="41"/>
      <c r="J173" s="43"/>
      <c r="AH173" s="62"/>
      <c r="AI173" s="122"/>
      <c r="AJ173" s="62"/>
    </row>
    <row r="174" spans="1:36" x14ac:dyDescent="0.25">
      <c r="A174" s="43"/>
      <c r="B174" s="44"/>
      <c r="C174" s="41"/>
      <c r="D174" s="43"/>
      <c r="E174" s="41"/>
      <c r="F174" s="41"/>
      <c r="G174" s="43"/>
      <c r="H174" s="42"/>
      <c r="I174" s="41"/>
      <c r="J174" s="43"/>
      <c r="AH174" s="62"/>
      <c r="AI174" s="122"/>
      <c r="AJ174" s="62"/>
    </row>
    <row r="175" spans="1:36" x14ac:dyDescent="0.25">
      <c r="A175" s="43"/>
      <c r="B175" s="44"/>
      <c r="C175" s="41"/>
      <c r="D175" s="43"/>
      <c r="E175" s="41"/>
      <c r="F175" s="41"/>
      <c r="G175" s="43"/>
      <c r="H175" s="42"/>
      <c r="I175" s="41"/>
      <c r="J175" s="43"/>
      <c r="AH175" s="62"/>
      <c r="AI175" s="122"/>
      <c r="AJ175" s="62"/>
    </row>
    <row r="176" spans="1:36" x14ac:dyDescent="0.25">
      <c r="A176" s="43"/>
      <c r="B176" s="44"/>
      <c r="C176" s="41"/>
      <c r="D176" s="43"/>
      <c r="E176" s="41"/>
      <c r="F176" s="41"/>
      <c r="G176" s="43"/>
      <c r="H176" s="42"/>
      <c r="I176" s="41"/>
      <c r="J176" s="43"/>
      <c r="AH176" s="62"/>
      <c r="AI176" s="122"/>
      <c r="AJ176" s="62"/>
    </row>
    <row r="177" spans="1:36" x14ac:dyDescent="0.25">
      <c r="A177" s="43"/>
      <c r="B177" s="44"/>
      <c r="C177" s="41"/>
      <c r="D177" s="43"/>
      <c r="E177" s="41"/>
      <c r="F177" s="41"/>
      <c r="G177" s="43"/>
      <c r="H177" s="42"/>
      <c r="I177" s="41"/>
      <c r="J177" s="43"/>
      <c r="AH177" s="62"/>
      <c r="AI177" s="122"/>
      <c r="AJ177" s="62"/>
    </row>
    <row r="178" spans="1:36" x14ac:dyDescent="0.25">
      <c r="A178" s="43"/>
      <c r="B178" s="44"/>
      <c r="C178" s="41"/>
      <c r="D178" s="43"/>
      <c r="E178" s="41"/>
      <c r="F178" s="41"/>
      <c r="G178" s="43"/>
      <c r="H178" s="42"/>
      <c r="I178" s="41"/>
      <c r="J178" s="43"/>
      <c r="AH178" s="62"/>
      <c r="AI178" s="122"/>
      <c r="AJ178" s="62"/>
    </row>
    <row r="179" spans="1:36" x14ac:dyDescent="0.25">
      <c r="A179" s="43"/>
      <c r="B179" s="44"/>
      <c r="C179" s="41"/>
      <c r="D179" s="43"/>
      <c r="E179" s="41"/>
      <c r="F179" s="41"/>
      <c r="G179" s="43"/>
      <c r="H179" s="42"/>
      <c r="I179" s="41"/>
      <c r="J179" s="43"/>
      <c r="AH179" s="62"/>
      <c r="AI179" s="122"/>
      <c r="AJ179" s="62"/>
    </row>
    <row r="180" spans="1:36" x14ac:dyDescent="0.25">
      <c r="A180" s="43"/>
      <c r="B180" s="44"/>
      <c r="C180" s="41"/>
      <c r="D180" s="43"/>
      <c r="E180" s="41"/>
      <c r="F180" s="41"/>
      <c r="G180" s="43"/>
      <c r="H180" s="42"/>
      <c r="I180" s="41"/>
      <c r="J180" s="43"/>
      <c r="AH180" s="62"/>
      <c r="AI180" s="122"/>
      <c r="AJ180" s="62"/>
    </row>
    <row r="181" spans="1:36" x14ac:dyDescent="0.25">
      <c r="A181" s="43"/>
      <c r="B181" s="44"/>
      <c r="C181" s="41"/>
      <c r="D181" s="43"/>
      <c r="E181" s="41"/>
      <c r="F181" s="41"/>
      <c r="G181" s="43"/>
      <c r="H181" s="42"/>
      <c r="I181" s="41"/>
      <c r="J181" s="43"/>
      <c r="AH181" s="62"/>
      <c r="AI181" s="122"/>
      <c r="AJ181" s="62"/>
    </row>
    <row r="182" spans="1:36" x14ac:dyDescent="0.25">
      <c r="A182" s="43"/>
      <c r="B182" s="44"/>
      <c r="C182" s="41"/>
      <c r="D182" s="43"/>
      <c r="E182" s="41"/>
      <c r="F182" s="41"/>
      <c r="G182" s="43"/>
      <c r="H182" s="42"/>
      <c r="I182" s="41"/>
      <c r="J182" s="43"/>
      <c r="AH182" s="62"/>
      <c r="AI182" s="122"/>
      <c r="AJ182" s="62"/>
    </row>
    <row r="183" spans="1:36" x14ac:dyDescent="0.25">
      <c r="A183" s="43"/>
      <c r="B183" s="44"/>
      <c r="C183" s="41"/>
      <c r="D183" s="43"/>
      <c r="E183" s="41"/>
      <c r="F183" s="41"/>
      <c r="G183" s="43"/>
      <c r="H183" s="42"/>
      <c r="I183" s="41"/>
      <c r="J183" s="43"/>
      <c r="AH183" s="62"/>
      <c r="AI183" s="122"/>
      <c r="AJ183" s="62"/>
    </row>
    <row r="184" spans="1:36" x14ac:dyDescent="0.25">
      <c r="A184" s="43"/>
      <c r="B184" s="44"/>
      <c r="C184" s="41"/>
      <c r="D184" s="43"/>
      <c r="E184" s="41"/>
      <c r="F184" s="41"/>
      <c r="G184" s="43"/>
      <c r="H184" s="42"/>
      <c r="I184" s="41"/>
      <c r="J184" s="43"/>
      <c r="AH184" s="62"/>
      <c r="AI184" s="122"/>
      <c r="AJ184" s="62"/>
    </row>
    <row r="185" spans="1:36" x14ac:dyDescent="0.25">
      <c r="A185" s="43"/>
      <c r="B185" s="44"/>
      <c r="C185" s="41"/>
      <c r="D185" s="43"/>
      <c r="E185" s="41"/>
      <c r="F185" s="41"/>
      <c r="G185" s="43"/>
      <c r="H185" s="42"/>
      <c r="I185" s="41"/>
      <c r="J185" s="43"/>
      <c r="AH185" s="62"/>
      <c r="AI185" s="122"/>
      <c r="AJ185" s="62"/>
    </row>
    <row r="186" spans="1:36" x14ac:dyDescent="0.25">
      <c r="A186" s="43"/>
      <c r="B186" s="44"/>
      <c r="C186" s="41"/>
      <c r="D186" s="43"/>
      <c r="E186" s="41"/>
      <c r="F186" s="41"/>
      <c r="G186" s="43"/>
      <c r="H186" s="42"/>
      <c r="I186" s="41"/>
      <c r="AH186" s="62"/>
      <c r="AI186" s="122"/>
      <c r="AJ186" s="62"/>
    </row>
    <row r="187" spans="1:36" x14ac:dyDescent="0.25">
      <c r="A187" s="43"/>
      <c r="B187" s="44"/>
      <c r="C187" s="41"/>
      <c r="D187" s="43"/>
      <c r="E187" s="41"/>
      <c r="F187" s="41"/>
      <c r="G187" s="43"/>
      <c r="H187" s="42"/>
      <c r="I187" s="41"/>
      <c r="AH187" s="62"/>
      <c r="AI187" s="122"/>
      <c r="AJ187" s="62"/>
    </row>
    <row r="188" spans="1:36" x14ac:dyDescent="0.25">
      <c r="A188" s="43"/>
      <c r="B188" s="44"/>
      <c r="C188" s="41"/>
      <c r="D188" s="43"/>
      <c r="E188" s="41"/>
      <c r="F188" s="41"/>
      <c r="G188" s="43"/>
      <c r="H188" s="42"/>
      <c r="I188" s="41"/>
      <c r="AH188" s="62"/>
      <c r="AI188" s="122"/>
      <c r="AJ188" s="62"/>
    </row>
    <row r="189" spans="1:36" x14ac:dyDescent="0.25">
      <c r="B189" s="10"/>
      <c r="D189" s="43"/>
      <c r="E189" s="41"/>
      <c r="F189" s="41"/>
      <c r="G189" s="43"/>
      <c r="H189" s="42"/>
      <c r="I189" s="41"/>
      <c r="AH189" s="62"/>
      <c r="AI189" s="122"/>
      <c r="AJ189" s="62"/>
    </row>
    <row r="190" spans="1:36" x14ac:dyDescent="0.25">
      <c r="B190" s="10"/>
      <c r="D190" s="43"/>
      <c r="E190" s="41"/>
      <c r="F190" s="41"/>
      <c r="G190" s="43"/>
      <c r="H190" s="42"/>
      <c r="I190" s="41"/>
      <c r="AH190" s="62"/>
      <c r="AI190" s="122"/>
      <c r="AJ190" s="62"/>
    </row>
    <row r="191" spans="1:36" x14ac:dyDescent="0.25">
      <c r="B191" s="10"/>
      <c r="D191" s="43"/>
      <c r="E191" s="41"/>
      <c r="F191" s="41"/>
      <c r="G191" s="43"/>
      <c r="H191" s="42"/>
      <c r="I191" s="41"/>
      <c r="AH191" s="62"/>
      <c r="AI191" s="122"/>
      <c r="AJ191" s="62"/>
    </row>
    <row r="192" spans="1:36" x14ac:dyDescent="0.25">
      <c r="B192" s="10"/>
      <c r="D192" s="43"/>
      <c r="E192" s="41"/>
      <c r="F192" s="41"/>
      <c r="G192" s="43"/>
      <c r="H192" s="42"/>
      <c r="I192" s="41"/>
      <c r="AH192" s="62"/>
      <c r="AI192" s="122"/>
      <c r="AJ192" s="62"/>
    </row>
    <row r="193" spans="2:9" x14ac:dyDescent="0.25">
      <c r="B193" s="10"/>
      <c r="D193" s="43"/>
      <c r="E193" s="41"/>
      <c r="F193" s="41"/>
      <c r="G193" s="43"/>
      <c r="H193" s="42"/>
      <c r="I193" s="41"/>
    </row>
    <row r="194" spans="2:9" x14ac:dyDescent="0.25">
      <c r="B194" s="10"/>
      <c r="G194" s="43"/>
      <c r="H194" s="42"/>
      <c r="I194" s="41"/>
    </row>
    <row r="195" spans="2:9" x14ac:dyDescent="0.25">
      <c r="B195" s="10"/>
      <c r="G195" s="43"/>
      <c r="H195" s="42"/>
      <c r="I195" s="41"/>
    </row>
    <row r="196" spans="2:9" x14ac:dyDescent="0.25">
      <c r="B196" s="10"/>
      <c r="G196" s="43"/>
      <c r="H196" s="42"/>
      <c r="I196" s="41"/>
    </row>
    <row r="197" spans="2:9" x14ac:dyDescent="0.25">
      <c r="B197" s="10"/>
      <c r="G197" s="43"/>
      <c r="H197" s="41"/>
      <c r="I197" s="41"/>
    </row>
    <row r="198" spans="2:9" x14ac:dyDescent="0.25">
      <c r="B198" s="10"/>
    </row>
    <row r="199" spans="2:9" x14ac:dyDescent="0.25">
      <c r="B199" s="10"/>
    </row>
    <row r="200" spans="2:9" x14ac:dyDescent="0.25">
      <c r="B200" s="10"/>
    </row>
    <row r="201" spans="2:9" x14ac:dyDescent="0.25">
      <c r="B201" s="10"/>
    </row>
    <row r="202" spans="2:9" x14ac:dyDescent="0.25">
      <c r="B202" s="10"/>
    </row>
    <row r="203" spans="2:9" x14ac:dyDescent="0.25">
      <c r="B203" s="10"/>
    </row>
    <row r="204" spans="2:9" x14ac:dyDescent="0.25">
      <c r="B204" s="10"/>
    </row>
    <row r="205" spans="2:9" x14ac:dyDescent="0.25">
      <c r="B205" s="10"/>
    </row>
    <row r="206" spans="2:9" x14ac:dyDescent="0.25">
      <c r="B206" s="10"/>
    </row>
    <row r="207" spans="2:9" x14ac:dyDescent="0.25">
      <c r="B207" s="10"/>
    </row>
    <row r="208" spans="2:9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  <row r="255" spans="2:2" x14ac:dyDescent="0.25">
      <c r="B255" s="10"/>
    </row>
    <row r="256" spans="2:2" x14ac:dyDescent="0.25">
      <c r="B256" s="10"/>
    </row>
    <row r="257" spans="2:2" x14ac:dyDescent="0.25">
      <c r="B257" s="10"/>
    </row>
    <row r="258" spans="2:2" x14ac:dyDescent="0.25">
      <c r="B258" s="10"/>
    </row>
    <row r="259" spans="2:2" x14ac:dyDescent="0.25">
      <c r="B259" s="10"/>
    </row>
    <row r="260" spans="2:2" x14ac:dyDescent="0.25">
      <c r="B260" s="10"/>
    </row>
    <row r="261" spans="2:2" x14ac:dyDescent="0.25">
      <c r="B261" s="10"/>
    </row>
    <row r="262" spans="2:2" x14ac:dyDescent="0.25">
      <c r="B262" s="10"/>
    </row>
    <row r="263" spans="2:2" x14ac:dyDescent="0.25">
      <c r="B263" s="10"/>
    </row>
    <row r="264" spans="2:2" x14ac:dyDescent="0.25">
      <c r="B264" s="10"/>
    </row>
    <row r="265" spans="2:2" x14ac:dyDescent="0.25">
      <c r="B265" s="10"/>
    </row>
    <row r="266" spans="2:2" x14ac:dyDescent="0.25">
      <c r="B266" s="10"/>
    </row>
    <row r="267" spans="2:2" x14ac:dyDescent="0.25">
      <c r="B267" s="10"/>
    </row>
    <row r="268" spans="2:2" x14ac:dyDescent="0.25">
      <c r="B268" s="10"/>
    </row>
    <row r="269" spans="2:2" x14ac:dyDescent="0.25">
      <c r="B269" s="10"/>
    </row>
    <row r="270" spans="2:2" x14ac:dyDescent="0.25">
      <c r="B270" s="10"/>
    </row>
    <row r="271" spans="2:2" x14ac:dyDescent="0.25">
      <c r="B271" s="10"/>
    </row>
    <row r="272" spans="2:2" x14ac:dyDescent="0.25">
      <c r="B272" s="10"/>
    </row>
    <row r="273" spans="2:2" x14ac:dyDescent="0.25">
      <c r="B273" s="10"/>
    </row>
    <row r="274" spans="2:2" x14ac:dyDescent="0.25">
      <c r="B274" s="10"/>
    </row>
    <row r="275" spans="2:2" x14ac:dyDescent="0.25">
      <c r="B275" s="10"/>
    </row>
    <row r="276" spans="2:2" x14ac:dyDescent="0.25">
      <c r="B276" s="10"/>
    </row>
    <row r="277" spans="2:2" x14ac:dyDescent="0.25">
      <c r="B277" s="10"/>
    </row>
    <row r="278" spans="2:2" x14ac:dyDescent="0.25">
      <c r="B278" s="10"/>
    </row>
    <row r="279" spans="2:2" x14ac:dyDescent="0.25">
      <c r="B279" s="10"/>
    </row>
    <row r="280" spans="2:2" x14ac:dyDescent="0.25">
      <c r="B280" s="10"/>
    </row>
    <row r="281" spans="2:2" x14ac:dyDescent="0.25">
      <c r="B281" s="10"/>
    </row>
    <row r="282" spans="2:2" x14ac:dyDescent="0.25">
      <c r="B282" s="10"/>
    </row>
    <row r="283" spans="2:2" x14ac:dyDescent="0.25">
      <c r="B283" s="10"/>
    </row>
    <row r="284" spans="2:2" x14ac:dyDescent="0.25">
      <c r="B284" s="10"/>
    </row>
    <row r="285" spans="2:2" x14ac:dyDescent="0.25">
      <c r="B285" s="10"/>
    </row>
    <row r="286" spans="2:2" x14ac:dyDescent="0.25">
      <c r="B286" s="10"/>
    </row>
  </sheetData>
  <mergeCells count="14">
    <mergeCell ref="V2:X2"/>
    <mergeCell ref="Y2:AA2"/>
    <mergeCell ref="AB2:AD2"/>
    <mergeCell ref="AE2:AG2"/>
    <mergeCell ref="AH2:AJ2"/>
    <mergeCell ref="S2:U2"/>
    <mergeCell ref="P2:R2"/>
    <mergeCell ref="A1:K1"/>
    <mergeCell ref="L1:M1"/>
    <mergeCell ref="M2:O2"/>
    <mergeCell ref="J2:L2"/>
    <mergeCell ref="G2:I2"/>
    <mergeCell ref="D2:F2"/>
    <mergeCell ref="A2:C2"/>
  </mergeCells>
  <pageMargins left="0.19685039370078741" right="0.19685039370078741" top="0.39370078740157483" bottom="0.59055118110236227" header="0.31496062992125984" footer="0.31496062992125984"/>
  <pageSetup scale="50" fitToWidth="0" orientation="portrait" r:id="rId1"/>
  <headerFooter>
    <oddFooter>&amp;C&amp;P de &amp;N</oddFooter>
  </headerFooter>
  <ignoredErrors>
    <ignoredError sqref="D2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CIBRAS DE CONTROL 2016</vt:lpstr>
      <vt:lpstr>'CIBRAS DE CONTROL 2016'!Área_de_impresión</vt:lpstr>
      <vt:lpstr>'CIBRAS DE CONTROL 2016'!Títulos_a_imprimir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Hacienda de Coyoacan</cp:lastModifiedBy>
  <cp:lastPrinted>2016-06-09T20:45:24Z</cp:lastPrinted>
  <dcterms:created xsi:type="dcterms:W3CDTF">2013-12-30T22:30:56Z</dcterms:created>
  <dcterms:modified xsi:type="dcterms:W3CDTF">2017-01-26T21:29:50Z</dcterms:modified>
</cp:coreProperties>
</file>