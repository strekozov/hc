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585" windowWidth="20730" windowHeight="9045" firstSheet="6" activeTab="13"/>
  </bookViews>
  <sheets>
    <sheet name="ENERO-16 " sheetId="15" r:id="rId1"/>
    <sheet name="ENERO-16  (1)" sheetId="27" r:id="rId2"/>
    <sheet name="FEBRERO-16" sheetId="7" r:id="rId3"/>
    <sheet name="FEBRERO-16 (2)" sheetId="28" r:id="rId4"/>
    <sheet name="MARZO-16 (1)" sheetId="18" r:id="rId5"/>
    <sheet name="ABRIL-16(1)" sheetId="21" r:id="rId6"/>
    <sheet name="MAYO-16" sheetId="26" r:id="rId7"/>
    <sheet name="JUNIO-16" sheetId="9" r:id="rId8"/>
    <sheet name="JULIO-16" sheetId="10" r:id="rId9"/>
    <sheet name="AGOSTO-16)" sheetId="11" r:id="rId10"/>
    <sheet name="SEPT-16" sheetId="12" r:id="rId11"/>
    <sheet name="OCTUBRE-16" sheetId="13" r:id="rId12"/>
    <sheet name="NOVIEMBRE-16 " sheetId="29" r:id="rId13"/>
    <sheet name="DICIEMBRE-16 " sheetId="30" r:id="rId14"/>
    <sheet name="ESTADO DE CUENTA" sheetId="16" r:id="rId15"/>
  </sheets>
  <definedNames>
    <definedName name="_xlnm.Print_Area" localSheetId="5">'ABRIL-16(1)'!$B$88:$L$127</definedName>
    <definedName name="_xlnm.Print_Area" localSheetId="9">'AGOSTO-16)'!$B$1:$L$152</definedName>
    <definedName name="_xlnm.Print_Area" localSheetId="13">'DICIEMBRE-16 '!$B$1:$L$183</definedName>
    <definedName name="_xlnm.Print_Area" localSheetId="0">'ENERO-16 '!$B$1:$G$122</definedName>
    <definedName name="_xlnm.Print_Area" localSheetId="1">'ENERO-16  (1)'!$B$1:$G$122</definedName>
    <definedName name="_xlnm.Print_Area" localSheetId="14">'ESTADO DE CUENTA'!$B$1:$N$28</definedName>
    <definedName name="_xlnm.Print_Area" localSheetId="2">'FEBRERO-16'!$B$13:$F$128</definedName>
    <definedName name="_xlnm.Print_Area" localSheetId="3">'FEBRERO-16 (2)'!$B$1:$L$142</definedName>
    <definedName name="_xlnm.Print_Area" localSheetId="8">'JULIO-16'!$B$1:$L$139</definedName>
    <definedName name="_xlnm.Print_Area" localSheetId="7">'JUNIO-16'!$B$1:$L$137</definedName>
    <definedName name="_xlnm.Print_Area" localSheetId="4">'MARZO-16 (1)'!$B$133:$L$152</definedName>
    <definedName name="_xlnm.Print_Area" localSheetId="6">'MAYO-16'!$B$3:$L$123</definedName>
    <definedName name="_xlnm.Print_Area" localSheetId="12">'NOVIEMBRE-16 '!$B$111:$L$157</definedName>
    <definedName name="_xlnm.Print_Area" localSheetId="11">'OCTUBRE-16'!$B$1:$L$154</definedName>
    <definedName name="_xlnm.Print_Area" localSheetId="10">'SEPT-16'!$B$1:$L$149</definedName>
  </definedNames>
  <calcPr calcId="144525"/>
</workbook>
</file>

<file path=xl/calcChain.xml><?xml version="1.0" encoding="utf-8"?>
<calcChain xmlns="http://schemas.openxmlformats.org/spreadsheetml/2006/main">
  <c r="J15" i="30" l="1"/>
  <c r="K183" i="30" l="1"/>
  <c r="H179" i="30"/>
  <c r="G179" i="30"/>
  <c r="F179" i="30"/>
  <c r="K169" i="30"/>
  <c r="J169" i="30"/>
  <c r="D165" i="30"/>
  <c r="F165" i="30" s="1"/>
  <c r="E165" i="30"/>
  <c r="G165" i="30"/>
  <c r="I165" i="30" s="1"/>
  <c r="H165" i="30"/>
  <c r="E179" i="30" l="1"/>
  <c r="D179" i="30"/>
  <c r="K170" i="30"/>
  <c r="K171" i="30" s="1"/>
  <c r="K172" i="30" s="1"/>
  <c r="K173" i="30" s="1"/>
  <c r="K174" i="30" s="1"/>
  <c r="K175" i="30" s="1"/>
  <c r="K176" i="30" s="1"/>
  <c r="K177" i="30" s="1"/>
  <c r="K178" i="30" s="1"/>
  <c r="J170" i="30"/>
  <c r="J171" i="30" s="1"/>
  <c r="J172" i="30" s="1"/>
  <c r="J173" i="30" s="1"/>
  <c r="J174" i="30" s="1"/>
  <c r="J175" i="30" s="1"/>
  <c r="J176" i="30" s="1"/>
  <c r="J177" i="30" s="1"/>
  <c r="J178" i="30" s="1"/>
  <c r="I168" i="30"/>
  <c r="F168" i="30"/>
  <c r="I179" i="30" l="1"/>
  <c r="I113" i="30"/>
  <c r="F113" i="30"/>
  <c r="I58" i="30"/>
  <c r="K59" i="30" l="1"/>
  <c r="I113" i="29" l="1"/>
  <c r="K114" i="30"/>
  <c r="K115" i="30" s="1"/>
  <c r="K116" i="30" s="1"/>
  <c r="K117" i="30" s="1"/>
  <c r="K118" i="30" s="1"/>
  <c r="K119" i="30" s="1"/>
  <c r="K120" i="30" s="1"/>
  <c r="K121" i="30" s="1"/>
  <c r="K122" i="30" s="1"/>
  <c r="K123" i="30" s="1"/>
  <c r="K124" i="30" s="1"/>
  <c r="K125" i="30" s="1"/>
  <c r="K126" i="30" s="1"/>
  <c r="K127" i="30" s="1"/>
  <c r="K128" i="30" s="1"/>
  <c r="K129" i="30" s="1"/>
  <c r="K130" i="30" s="1"/>
  <c r="K131" i="30" s="1"/>
  <c r="K132" i="30" s="1"/>
  <c r="K133" i="30" s="1"/>
  <c r="K134" i="30" s="1"/>
  <c r="K135" i="30" s="1"/>
  <c r="K136" i="30" s="1"/>
  <c r="K137" i="30" s="1"/>
  <c r="K138" i="30" s="1"/>
  <c r="K139" i="30" s="1"/>
  <c r="K140" i="30" s="1"/>
  <c r="K141" i="30" s="1"/>
  <c r="K142" i="30" s="1"/>
  <c r="K143" i="30" s="1"/>
  <c r="K144" i="30" s="1"/>
  <c r="K145" i="30" s="1"/>
  <c r="K146" i="30" s="1"/>
  <c r="K147" i="30" s="1"/>
  <c r="K148" i="30" s="1"/>
  <c r="K149" i="30" s="1"/>
  <c r="K150" i="30" s="1"/>
  <c r="K151" i="30" s="1"/>
  <c r="K152" i="30" s="1"/>
  <c r="K153" i="30" s="1"/>
  <c r="K154" i="30" s="1"/>
  <c r="K155" i="30" s="1"/>
  <c r="K156" i="30" s="1"/>
  <c r="K157" i="30" s="1"/>
  <c r="K158" i="30" s="1"/>
  <c r="K159" i="30" s="1"/>
  <c r="K160" i="30" s="1"/>
  <c r="K161" i="30" s="1"/>
  <c r="K162" i="30" s="1"/>
  <c r="K163" i="30" s="1"/>
  <c r="K164" i="30" s="1"/>
  <c r="J114" i="30"/>
  <c r="J115" i="30" s="1"/>
  <c r="J116" i="30" s="1"/>
  <c r="J117" i="30" s="1"/>
  <c r="J118" i="30" s="1"/>
  <c r="J119" i="30" s="1"/>
  <c r="J120" i="30" s="1"/>
  <c r="J121" i="30" s="1"/>
  <c r="J122" i="30" s="1"/>
  <c r="J123" i="30" s="1"/>
  <c r="J124" i="30" s="1"/>
  <c r="J125" i="30" s="1"/>
  <c r="J126" i="30" s="1"/>
  <c r="J127" i="30" s="1"/>
  <c r="J128" i="30" s="1"/>
  <c r="J129" i="30" s="1"/>
  <c r="J130" i="30" s="1"/>
  <c r="J131" i="30" s="1"/>
  <c r="J132" i="30" s="1"/>
  <c r="J133" i="30" s="1"/>
  <c r="J134" i="30" s="1"/>
  <c r="J135" i="30" s="1"/>
  <c r="J136" i="30" s="1"/>
  <c r="J137" i="30" s="1"/>
  <c r="J138" i="30" s="1"/>
  <c r="J139" i="30" s="1"/>
  <c r="J140" i="30" s="1"/>
  <c r="J141" i="30" s="1"/>
  <c r="J142" i="30" s="1"/>
  <c r="J143" i="30" s="1"/>
  <c r="J144" i="30" s="1"/>
  <c r="J145" i="30" s="1"/>
  <c r="J146" i="30" s="1"/>
  <c r="J147" i="30" s="1"/>
  <c r="J148" i="30" s="1"/>
  <c r="J149" i="30" s="1"/>
  <c r="J150" i="30" s="1"/>
  <c r="J151" i="30" s="1"/>
  <c r="J152" i="30" s="1"/>
  <c r="J153" i="30" s="1"/>
  <c r="J154" i="30" s="1"/>
  <c r="J155" i="30" s="1"/>
  <c r="J156" i="30" s="1"/>
  <c r="J157" i="30" s="1"/>
  <c r="J158" i="30" s="1"/>
  <c r="J159" i="30" s="1"/>
  <c r="J160" i="30" s="1"/>
  <c r="J161" i="30" s="1"/>
  <c r="J162" i="30" s="1"/>
  <c r="J163" i="30" s="1"/>
  <c r="J164" i="30" s="1"/>
  <c r="H110" i="30"/>
  <c r="G110" i="30"/>
  <c r="E110" i="30"/>
  <c r="D110" i="30"/>
  <c r="K60" i="30"/>
  <c r="K61" i="30" s="1"/>
  <c r="K62" i="30" s="1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K74" i="30" s="1"/>
  <c r="K75" i="30" s="1"/>
  <c r="K76" i="30" s="1"/>
  <c r="K77" i="30" s="1"/>
  <c r="K78" i="30" s="1"/>
  <c r="K79" i="30" s="1"/>
  <c r="K80" i="30" s="1"/>
  <c r="K81" i="30" s="1"/>
  <c r="K82" i="30" s="1"/>
  <c r="K83" i="30" s="1"/>
  <c r="K84" i="30" s="1"/>
  <c r="K85" i="30" s="1"/>
  <c r="K86" i="30" s="1"/>
  <c r="K87" i="30" s="1"/>
  <c r="K88" i="30" s="1"/>
  <c r="K89" i="30" s="1"/>
  <c r="K90" i="30" s="1"/>
  <c r="K91" i="30" s="1"/>
  <c r="K92" i="30" s="1"/>
  <c r="K93" i="30" s="1"/>
  <c r="K94" i="30" s="1"/>
  <c r="K95" i="30" s="1"/>
  <c r="K96" i="30" s="1"/>
  <c r="K97" i="30" s="1"/>
  <c r="K98" i="30" s="1"/>
  <c r="K99" i="30" s="1"/>
  <c r="K100" i="30" s="1"/>
  <c r="K101" i="30" s="1"/>
  <c r="K102" i="30" s="1"/>
  <c r="K103" i="30" s="1"/>
  <c r="K104" i="30" s="1"/>
  <c r="K105" i="30" s="1"/>
  <c r="K106" i="30" s="1"/>
  <c r="K107" i="30" s="1"/>
  <c r="K108" i="30" s="1"/>
  <c r="K109" i="30" s="1"/>
  <c r="J59" i="30"/>
  <c r="J60" i="30" s="1"/>
  <c r="J61" i="30" s="1"/>
  <c r="J62" i="30" s="1"/>
  <c r="J63" i="30" s="1"/>
  <c r="J64" i="30" s="1"/>
  <c r="J65" i="30" s="1"/>
  <c r="J66" i="30" s="1"/>
  <c r="J67" i="30" s="1"/>
  <c r="J68" i="30" s="1"/>
  <c r="J69" i="30" s="1"/>
  <c r="J70" i="30" s="1"/>
  <c r="J71" i="30" s="1"/>
  <c r="J72" i="30" s="1"/>
  <c r="J73" i="30" s="1"/>
  <c r="J74" i="30" s="1"/>
  <c r="J75" i="30" s="1"/>
  <c r="J76" i="30" s="1"/>
  <c r="J77" i="30" s="1"/>
  <c r="J78" i="30" s="1"/>
  <c r="J79" i="30" s="1"/>
  <c r="J80" i="30" s="1"/>
  <c r="J81" i="30" s="1"/>
  <c r="J82" i="30" s="1"/>
  <c r="J83" i="30" s="1"/>
  <c r="J84" i="30" s="1"/>
  <c r="J85" i="30" s="1"/>
  <c r="J86" i="30" s="1"/>
  <c r="J87" i="30" s="1"/>
  <c r="J88" i="30" s="1"/>
  <c r="J89" i="30" s="1"/>
  <c r="J90" i="30" s="1"/>
  <c r="J91" i="30" s="1"/>
  <c r="J92" i="30" s="1"/>
  <c r="J93" i="30" s="1"/>
  <c r="J94" i="30" s="1"/>
  <c r="J95" i="30" s="1"/>
  <c r="J96" i="30" s="1"/>
  <c r="J97" i="30" s="1"/>
  <c r="J98" i="30" s="1"/>
  <c r="J99" i="30" s="1"/>
  <c r="J100" i="30" s="1"/>
  <c r="J101" i="30" s="1"/>
  <c r="J102" i="30" s="1"/>
  <c r="J103" i="30" s="1"/>
  <c r="J104" i="30" s="1"/>
  <c r="J105" i="30" s="1"/>
  <c r="J106" i="30" s="1"/>
  <c r="J107" i="30" s="1"/>
  <c r="J108" i="30" s="1"/>
  <c r="J109" i="30" s="1"/>
  <c r="H55" i="30"/>
  <c r="G55" i="30"/>
  <c r="E55" i="30"/>
  <c r="D55" i="30"/>
  <c r="K5" i="30"/>
  <c r="K6" i="30" s="1"/>
  <c r="K7" i="30" s="1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K38" i="30" s="1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49" i="30" s="1"/>
  <c r="K50" i="30" s="1"/>
  <c r="K51" i="30" s="1"/>
  <c r="K52" i="30" s="1"/>
  <c r="K53" i="30" s="1"/>
  <c r="K54" i="30" s="1"/>
  <c r="J5" i="30"/>
  <c r="J6" i="30" s="1"/>
  <c r="J7" i="30" s="1"/>
  <c r="J8" i="30" s="1"/>
  <c r="J9" i="30" s="1"/>
  <c r="J10" i="30" s="1"/>
  <c r="J11" i="30" s="1"/>
  <c r="J12" i="30" s="1"/>
  <c r="J13" i="30" s="1"/>
  <c r="J14" i="30" s="1"/>
  <c r="J16" i="30" s="1"/>
  <c r="J17" i="30" s="1"/>
  <c r="J18" i="30" s="1"/>
  <c r="J19" i="30" s="1"/>
  <c r="J20" i="30" s="1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J44" i="30" s="1"/>
  <c r="J45" i="30" s="1"/>
  <c r="J46" i="30" s="1"/>
  <c r="J47" i="30" s="1"/>
  <c r="J48" i="30" s="1"/>
  <c r="J49" i="30" s="1"/>
  <c r="J50" i="30" s="1"/>
  <c r="J51" i="30" s="1"/>
  <c r="J52" i="30" s="1"/>
  <c r="J53" i="30" s="1"/>
  <c r="J54" i="30" s="1"/>
  <c r="K157" i="29"/>
  <c r="H153" i="29"/>
  <c r="G153" i="29"/>
  <c r="E153" i="29"/>
  <c r="D153" i="29"/>
  <c r="K114" i="29"/>
  <c r="K115" i="29" s="1"/>
  <c r="K116" i="29" s="1"/>
  <c r="K117" i="29" s="1"/>
  <c r="K118" i="29" s="1"/>
  <c r="K119" i="29" s="1"/>
  <c r="K120" i="29" s="1"/>
  <c r="K121" i="29" s="1"/>
  <c r="K122" i="29" s="1"/>
  <c r="K123" i="29" s="1"/>
  <c r="K124" i="29" s="1"/>
  <c r="K125" i="29" s="1"/>
  <c r="K126" i="29" s="1"/>
  <c r="K127" i="29" s="1"/>
  <c r="K128" i="29" s="1"/>
  <c r="K129" i="29" s="1"/>
  <c r="K130" i="29" s="1"/>
  <c r="K131" i="29" s="1"/>
  <c r="K132" i="29" s="1"/>
  <c r="K133" i="29" s="1"/>
  <c r="K134" i="29" s="1"/>
  <c r="K135" i="29" s="1"/>
  <c r="K136" i="29" s="1"/>
  <c r="K137" i="29" s="1"/>
  <c r="K138" i="29" s="1"/>
  <c r="K139" i="29" s="1"/>
  <c r="K140" i="29" s="1"/>
  <c r="K141" i="29" s="1"/>
  <c r="K142" i="29" s="1"/>
  <c r="K143" i="29" s="1"/>
  <c r="K144" i="29" s="1"/>
  <c r="K145" i="29" s="1"/>
  <c r="K146" i="29" s="1"/>
  <c r="K147" i="29" s="1"/>
  <c r="K148" i="29" s="1"/>
  <c r="K149" i="29" s="1"/>
  <c r="K150" i="29" s="1"/>
  <c r="K151" i="29" s="1"/>
  <c r="K152" i="29" s="1"/>
  <c r="J114" i="29"/>
  <c r="J115" i="29" s="1"/>
  <c r="J116" i="29" s="1"/>
  <c r="J117" i="29" s="1"/>
  <c r="J118" i="29" s="1"/>
  <c r="J119" i="29" s="1"/>
  <c r="J120" i="29" s="1"/>
  <c r="J121" i="29" s="1"/>
  <c r="J122" i="29" s="1"/>
  <c r="J123" i="29" s="1"/>
  <c r="J124" i="29" s="1"/>
  <c r="J125" i="29" s="1"/>
  <c r="J126" i="29" s="1"/>
  <c r="J127" i="29" s="1"/>
  <c r="J128" i="29" s="1"/>
  <c r="J129" i="29" s="1"/>
  <c r="J130" i="29" s="1"/>
  <c r="J131" i="29" s="1"/>
  <c r="J132" i="29" s="1"/>
  <c r="J133" i="29" s="1"/>
  <c r="J134" i="29" s="1"/>
  <c r="J135" i="29" s="1"/>
  <c r="J136" i="29" s="1"/>
  <c r="J137" i="29" s="1"/>
  <c r="J138" i="29" s="1"/>
  <c r="J139" i="29" s="1"/>
  <c r="J140" i="29" s="1"/>
  <c r="J141" i="29" s="1"/>
  <c r="J142" i="29" s="1"/>
  <c r="J143" i="29" s="1"/>
  <c r="J144" i="29" s="1"/>
  <c r="J145" i="29" s="1"/>
  <c r="J146" i="29" s="1"/>
  <c r="J147" i="29" s="1"/>
  <c r="J148" i="29" s="1"/>
  <c r="J149" i="29" s="1"/>
  <c r="J150" i="29" s="1"/>
  <c r="J151" i="29" s="1"/>
  <c r="J152" i="29" s="1"/>
  <c r="F113" i="29"/>
  <c r="H110" i="29"/>
  <c r="G110" i="29"/>
  <c r="E110" i="29"/>
  <c r="D110" i="29"/>
  <c r="L104" i="29"/>
  <c r="K59" i="29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K73" i="29" s="1"/>
  <c r="K74" i="29" s="1"/>
  <c r="K75" i="29" s="1"/>
  <c r="K76" i="29" s="1"/>
  <c r="K77" i="29" s="1"/>
  <c r="K78" i="29" s="1"/>
  <c r="K79" i="29" s="1"/>
  <c r="K80" i="29" s="1"/>
  <c r="K81" i="29" s="1"/>
  <c r="K82" i="29" s="1"/>
  <c r="K83" i="29" s="1"/>
  <c r="K84" i="29" s="1"/>
  <c r="K85" i="29" s="1"/>
  <c r="K86" i="29" s="1"/>
  <c r="K87" i="29" s="1"/>
  <c r="K88" i="29" s="1"/>
  <c r="K89" i="29" s="1"/>
  <c r="K90" i="29" s="1"/>
  <c r="K91" i="29" s="1"/>
  <c r="K92" i="29" s="1"/>
  <c r="K93" i="29" s="1"/>
  <c r="K94" i="29" s="1"/>
  <c r="K95" i="29" s="1"/>
  <c r="K96" i="29" s="1"/>
  <c r="K97" i="29" s="1"/>
  <c r="K98" i="29" s="1"/>
  <c r="K99" i="29" s="1"/>
  <c r="K100" i="29" s="1"/>
  <c r="K101" i="29" s="1"/>
  <c r="K102" i="29" s="1"/>
  <c r="K103" i="29" s="1"/>
  <c r="K104" i="29" s="1"/>
  <c r="K105" i="29" s="1"/>
  <c r="K106" i="29" s="1"/>
  <c r="K107" i="29" s="1"/>
  <c r="K108" i="29" s="1"/>
  <c r="K109" i="29" s="1"/>
  <c r="J59" i="29"/>
  <c r="J60" i="29" s="1"/>
  <c r="J61" i="29" s="1"/>
  <c r="J62" i="29" s="1"/>
  <c r="J63" i="29" s="1"/>
  <c r="J64" i="29" s="1"/>
  <c r="J65" i="29" s="1"/>
  <c r="J66" i="29" s="1"/>
  <c r="J67" i="29" s="1"/>
  <c r="J68" i="29" s="1"/>
  <c r="J69" i="29" s="1"/>
  <c r="J70" i="29" s="1"/>
  <c r="J71" i="29" s="1"/>
  <c r="J72" i="29" s="1"/>
  <c r="J73" i="29" s="1"/>
  <c r="J74" i="29" s="1"/>
  <c r="J75" i="29" s="1"/>
  <c r="J76" i="29" s="1"/>
  <c r="J77" i="29" s="1"/>
  <c r="J78" i="29" s="1"/>
  <c r="J79" i="29" s="1"/>
  <c r="J80" i="29" s="1"/>
  <c r="J81" i="29" s="1"/>
  <c r="J82" i="29" s="1"/>
  <c r="J83" i="29" s="1"/>
  <c r="J84" i="29" s="1"/>
  <c r="J85" i="29" s="1"/>
  <c r="J86" i="29" s="1"/>
  <c r="J87" i="29" s="1"/>
  <c r="J88" i="29" s="1"/>
  <c r="J89" i="29" s="1"/>
  <c r="J90" i="29" s="1"/>
  <c r="J91" i="29" s="1"/>
  <c r="J92" i="29" s="1"/>
  <c r="J93" i="29" s="1"/>
  <c r="J94" i="29" s="1"/>
  <c r="J95" i="29" s="1"/>
  <c r="J96" i="29" s="1"/>
  <c r="J97" i="29" s="1"/>
  <c r="J98" i="29" s="1"/>
  <c r="J99" i="29" s="1"/>
  <c r="J100" i="29" s="1"/>
  <c r="J101" i="29" s="1"/>
  <c r="J102" i="29" s="1"/>
  <c r="J103" i="29" s="1"/>
  <c r="J104" i="29" s="1"/>
  <c r="J105" i="29" s="1"/>
  <c r="J106" i="29" s="1"/>
  <c r="J107" i="29" s="1"/>
  <c r="J108" i="29" s="1"/>
  <c r="J109" i="29" s="1"/>
  <c r="I58" i="29"/>
  <c r="F58" i="29"/>
  <c r="H55" i="29"/>
  <c r="G55" i="29"/>
  <c r="E55" i="29"/>
  <c r="D55" i="29"/>
  <c r="K5" i="29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J5" i="29"/>
  <c r="J6" i="29" s="1"/>
  <c r="J7" i="29" s="1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49" i="29" s="1"/>
  <c r="J50" i="29" s="1"/>
  <c r="J51" i="29" s="1"/>
  <c r="J52" i="29" s="1"/>
  <c r="J53" i="29" s="1"/>
  <c r="J54" i="29" s="1"/>
  <c r="H150" i="13"/>
  <c r="F110" i="30" l="1"/>
  <c r="I55" i="30"/>
  <c r="F55" i="29"/>
  <c r="F153" i="29"/>
  <c r="I153" i="29"/>
  <c r="F110" i="29"/>
  <c r="I110" i="29"/>
  <c r="F55" i="30"/>
  <c r="I110" i="30"/>
  <c r="I55" i="29"/>
  <c r="H133" i="28"/>
  <c r="H52" i="28"/>
  <c r="J59" i="28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  <c r="J88" i="28" s="1"/>
  <c r="J89" i="28" s="1"/>
  <c r="J90" i="28" s="1"/>
  <c r="J91" i="28" s="1"/>
  <c r="J92" i="28" s="1"/>
  <c r="J93" i="28" s="1"/>
  <c r="J94" i="28" s="1"/>
  <c r="J95" i="28" s="1"/>
  <c r="J96" i="28" s="1"/>
  <c r="J97" i="28" s="1"/>
  <c r="J98" i="28" s="1"/>
  <c r="J99" i="28" s="1"/>
  <c r="J100" i="28" s="1"/>
  <c r="J101" i="28" s="1"/>
  <c r="J102" i="28" s="1"/>
  <c r="J103" i="28" s="1"/>
  <c r="J104" i="28" s="1"/>
  <c r="J105" i="28" s="1"/>
  <c r="J106" i="28" s="1"/>
  <c r="J107" i="28" s="1"/>
  <c r="J108" i="28" s="1"/>
  <c r="J109" i="28" s="1"/>
  <c r="I124" i="21" l="1"/>
  <c r="I93" i="21"/>
  <c r="I87" i="21"/>
  <c r="I48" i="21"/>
  <c r="I42" i="21"/>
  <c r="H124" i="21"/>
  <c r="G124" i="21"/>
  <c r="I127" i="21" s="1"/>
  <c r="E124" i="21"/>
  <c r="D124" i="21"/>
  <c r="F124" i="21" s="1"/>
  <c r="F127" i="21" s="1"/>
  <c r="K94" i="21"/>
  <c r="K95" i="21" s="1"/>
  <c r="K96" i="21" s="1"/>
  <c r="K97" i="21" s="1"/>
  <c r="K98" i="21" s="1"/>
  <c r="K99" i="21" s="1"/>
  <c r="K100" i="21" s="1"/>
  <c r="K101" i="21" s="1"/>
  <c r="K102" i="21" s="1"/>
  <c r="K103" i="21" s="1"/>
  <c r="K104" i="21" s="1"/>
  <c r="K105" i="21" s="1"/>
  <c r="K106" i="21" s="1"/>
  <c r="K107" i="21" s="1"/>
  <c r="K108" i="21" s="1"/>
  <c r="K109" i="21" s="1"/>
  <c r="K110" i="21" s="1"/>
  <c r="K111" i="21" s="1"/>
  <c r="K112" i="21" s="1"/>
  <c r="K113" i="21" s="1"/>
  <c r="K114" i="21" s="1"/>
  <c r="K115" i="21" s="1"/>
  <c r="K116" i="21" s="1"/>
  <c r="K117" i="21" s="1"/>
  <c r="K118" i="21" s="1"/>
  <c r="K119" i="21" s="1"/>
  <c r="K120" i="21" s="1"/>
  <c r="K121" i="21" s="1"/>
  <c r="K122" i="21" s="1"/>
  <c r="K123" i="21" s="1"/>
  <c r="J94" i="21"/>
  <c r="J95" i="21" s="1"/>
  <c r="J96" i="21" s="1"/>
  <c r="J97" i="21" s="1"/>
  <c r="J98" i="21" s="1"/>
  <c r="J99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J110" i="21" s="1"/>
  <c r="J111" i="21" s="1"/>
  <c r="J112" i="21" s="1"/>
  <c r="J113" i="21" s="1"/>
  <c r="J114" i="21" s="1"/>
  <c r="J115" i="21" s="1"/>
  <c r="J116" i="21" s="1"/>
  <c r="J117" i="21" s="1"/>
  <c r="J118" i="21" s="1"/>
  <c r="J119" i="21" s="1"/>
  <c r="J120" i="21" s="1"/>
  <c r="J121" i="21" s="1"/>
  <c r="J122" i="21" s="1"/>
  <c r="J123" i="21" s="1"/>
  <c r="F93" i="21"/>
  <c r="H87" i="21"/>
  <c r="G87" i="21"/>
  <c r="E87" i="21"/>
  <c r="D87" i="21"/>
  <c r="F87" i="21" s="1"/>
  <c r="K49" i="21"/>
  <c r="K50" i="21" s="1"/>
  <c r="K51" i="21" s="1"/>
  <c r="K52" i="21" s="1"/>
  <c r="K53" i="21" s="1"/>
  <c r="K54" i="21" s="1"/>
  <c r="K55" i="21" s="1"/>
  <c r="K56" i="21" s="1"/>
  <c r="K57" i="21" s="1"/>
  <c r="K58" i="21" s="1"/>
  <c r="K59" i="21" s="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K84" i="21" s="1"/>
  <c r="K85" i="21" s="1"/>
  <c r="K86" i="21" s="1"/>
  <c r="J49" i="21"/>
  <c r="J50" i="21" s="1"/>
  <c r="J51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F48" i="21"/>
  <c r="D149" i="18" l="1"/>
  <c r="E149" i="18"/>
  <c r="F149" i="18" s="1"/>
  <c r="G149" i="18"/>
  <c r="H149" i="18"/>
  <c r="K152" i="18"/>
  <c r="D132" i="18"/>
  <c r="I149" i="18" l="1"/>
  <c r="E132" i="18" l="1"/>
  <c r="E87" i="18" l="1"/>
  <c r="E43" i="18"/>
  <c r="K137" i="18" l="1"/>
  <c r="K138" i="18" s="1"/>
  <c r="K139" i="18" s="1"/>
  <c r="K140" i="18" s="1"/>
  <c r="K141" i="18" s="1"/>
  <c r="K142" i="18" s="1"/>
  <c r="K143" i="18" s="1"/>
  <c r="K144" i="18" s="1"/>
  <c r="K145" i="18" s="1"/>
  <c r="K146" i="18" s="1"/>
  <c r="K147" i="18" s="1"/>
  <c r="K148" i="18" s="1"/>
  <c r="J137" i="18"/>
  <c r="J138" i="18" s="1"/>
  <c r="J139" i="18" s="1"/>
  <c r="J140" i="18" s="1"/>
  <c r="J141" i="18" s="1"/>
  <c r="J142" i="18" s="1"/>
  <c r="J143" i="18" s="1"/>
  <c r="J144" i="18" s="1"/>
  <c r="J145" i="18" s="1"/>
  <c r="J146" i="18" s="1"/>
  <c r="J147" i="18" s="1"/>
  <c r="J148" i="18" s="1"/>
  <c r="I136" i="18"/>
  <c r="H132" i="18"/>
  <c r="G132" i="18"/>
  <c r="K92" i="18"/>
  <c r="K93" i="18" s="1"/>
  <c r="K94" i="18" s="1"/>
  <c r="K95" i="18" s="1"/>
  <c r="K96" i="18" s="1"/>
  <c r="K97" i="18" s="1"/>
  <c r="K98" i="18" s="1"/>
  <c r="K99" i="18" s="1"/>
  <c r="K100" i="18" s="1"/>
  <c r="K101" i="18" s="1"/>
  <c r="K102" i="18" s="1"/>
  <c r="K103" i="18" s="1"/>
  <c r="K104" i="18" s="1"/>
  <c r="K105" i="18" s="1"/>
  <c r="K106" i="18" s="1"/>
  <c r="K107" i="18" s="1"/>
  <c r="K108" i="18" s="1"/>
  <c r="K109" i="18" s="1"/>
  <c r="K110" i="18" s="1"/>
  <c r="K111" i="18" s="1"/>
  <c r="K112" i="18" s="1"/>
  <c r="K113" i="18" s="1"/>
  <c r="K114" i="18" s="1"/>
  <c r="K115" i="18" s="1"/>
  <c r="K116" i="18" s="1"/>
  <c r="K117" i="18" s="1"/>
  <c r="K118" i="18" s="1"/>
  <c r="K119" i="18" s="1"/>
  <c r="K120" i="18" s="1"/>
  <c r="K121" i="18" s="1"/>
  <c r="K122" i="18" s="1"/>
  <c r="K123" i="18" s="1"/>
  <c r="K124" i="18" s="1"/>
  <c r="K125" i="18" s="1"/>
  <c r="K126" i="18" s="1"/>
  <c r="K127" i="18" s="1"/>
  <c r="K128" i="18" s="1"/>
  <c r="K129" i="18" s="1"/>
  <c r="K130" i="18" s="1"/>
  <c r="K131" i="18" s="1"/>
  <c r="J92" i="18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J130" i="18" s="1"/>
  <c r="J131" i="18" s="1"/>
  <c r="I91" i="18"/>
  <c r="F91" i="18"/>
  <c r="H87" i="18"/>
  <c r="G87" i="18"/>
  <c r="D87" i="18"/>
  <c r="K48" i="18"/>
  <c r="K49" i="18" s="1"/>
  <c r="K50" i="18" s="1"/>
  <c r="K51" i="18" s="1"/>
  <c r="K52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K84" i="18" s="1"/>
  <c r="K85" i="18" s="1"/>
  <c r="K86" i="18" s="1"/>
  <c r="J48" i="18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I47" i="18"/>
  <c r="F47" i="18"/>
  <c r="F87" i="18" l="1"/>
  <c r="I87" i="18"/>
  <c r="F132" i="18"/>
  <c r="I132" i="18"/>
  <c r="E133" i="28"/>
  <c r="E52" i="28"/>
  <c r="E110" i="28"/>
  <c r="J5" i="28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47" i="28" s="1"/>
  <c r="J48" i="28" s="1"/>
  <c r="J49" i="28" s="1"/>
  <c r="J50" i="28" s="1"/>
  <c r="J51" i="28" s="1"/>
  <c r="K5" i="28" l="1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I113" i="28"/>
  <c r="K114" i="28" l="1"/>
  <c r="K115" i="28" s="1"/>
  <c r="K116" i="28" s="1"/>
  <c r="K117" i="28" s="1"/>
  <c r="K118" i="28" s="1"/>
  <c r="K119" i="28" s="1"/>
  <c r="K120" i="28" s="1"/>
  <c r="K121" i="28" s="1"/>
  <c r="K122" i="28" s="1"/>
  <c r="K123" i="28" s="1"/>
  <c r="K124" i="28" s="1"/>
  <c r="K125" i="28" s="1"/>
  <c r="K126" i="28" s="1"/>
  <c r="K127" i="28" s="1"/>
  <c r="K128" i="28" s="1"/>
  <c r="K129" i="28" s="1"/>
  <c r="K130" i="28" s="1"/>
  <c r="K131" i="28" s="1"/>
  <c r="K132" i="28" s="1"/>
  <c r="J114" i="28"/>
  <c r="J115" i="28" s="1"/>
  <c r="J116" i="28" s="1"/>
  <c r="J117" i="28" s="1"/>
  <c r="J118" i="28" s="1"/>
  <c r="J119" i="28" s="1"/>
  <c r="J120" i="28" s="1"/>
  <c r="J121" i="28" s="1"/>
  <c r="J122" i="28" s="1"/>
  <c r="J123" i="28" s="1"/>
  <c r="J124" i="28" s="1"/>
  <c r="J125" i="28" s="1"/>
  <c r="J126" i="28" s="1"/>
  <c r="J127" i="28" s="1"/>
  <c r="J128" i="28" s="1"/>
  <c r="J129" i="28" s="1"/>
  <c r="J130" i="28" s="1"/>
  <c r="J131" i="28" s="1"/>
  <c r="J132" i="28" s="1"/>
  <c r="G133" i="28"/>
  <c r="D133" i="28"/>
  <c r="G52" i="28"/>
  <c r="D52" i="28"/>
  <c r="K136" i="28"/>
  <c r="F113" i="28"/>
  <c r="H110" i="28"/>
  <c r="G110" i="28"/>
  <c r="D110" i="28"/>
  <c r="K59" i="28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K86" i="28" s="1"/>
  <c r="K87" i="28" s="1"/>
  <c r="K88" i="28" s="1"/>
  <c r="K89" i="28" s="1"/>
  <c r="K90" i="28" s="1"/>
  <c r="K91" i="28" s="1"/>
  <c r="K92" i="28" s="1"/>
  <c r="K93" i="28" s="1"/>
  <c r="K94" i="28" s="1"/>
  <c r="K95" i="28" s="1"/>
  <c r="K96" i="28" s="1"/>
  <c r="K97" i="28" s="1"/>
  <c r="K98" i="28" s="1"/>
  <c r="K99" i="28" s="1"/>
  <c r="K100" i="28" s="1"/>
  <c r="K101" i="28" s="1"/>
  <c r="K102" i="28" s="1"/>
  <c r="K103" i="28" s="1"/>
  <c r="K104" i="28" s="1"/>
  <c r="K105" i="28" s="1"/>
  <c r="K106" i="28" s="1"/>
  <c r="K107" i="28" s="1"/>
  <c r="K108" i="28" s="1"/>
  <c r="K109" i="28" s="1"/>
  <c r="I58" i="28"/>
  <c r="F58" i="28"/>
  <c r="H2" i="7"/>
  <c r="J120" i="27"/>
  <c r="H118" i="27"/>
  <c r="E117" i="27"/>
  <c r="I107" i="27"/>
  <c r="F107" i="27"/>
  <c r="F108" i="27" s="1"/>
  <c r="F109" i="27" s="1"/>
  <c r="F110" i="27" s="1"/>
  <c r="F111" i="27" s="1"/>
  <c r="F112" i="27" s="1"/>
  <c r="F113" i="27" s="1"/>
  <c r="F114" i="27" s="1"/>
  <c r="F115" i="27" s="1"/>
  <c r="F116" i="27" s="1"/>
  <c r="F102" i="27"/>
  <c r="E102" i="27"/>
  <c r="F118" i="27" s="1"/>
  <c r="G6" i="27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G45" i="27" s="1"/>
  <c r="G46" i="27" s="1"/>
  <c r="G47" i="27" s="1"/>
  <c r="G48" i="27" s="1"/>
  <c r="G49" i="27" s="1"/>
  <c r="G50" i="27" s="1"/>
  <c r="G51" i="27" s="1"/>
  <c r="G52" i="27" s="1"/>
  <c r="G53" i="27" s="1"/>
  <c r="G54" i="27" s="1"/>
  <c r="G55" i="27" s="1"/>
  <c r="G56" i="27" s="1"/>
  <c r="G57" i="27" s="1"/>
  <c r="G58" i="27" s="1"/>
  <c r="G59" i="27" s="1"/>
  <c r="G60" i="27" s="1"/>
  <c r="G61" i="27" s="1"/>
  <c r="G62" i="27" s="1"/>
  <c r="G63" i="27" s="1"/>
  <c r="G64" i="27" s="1"/>
  <c r="G65" i="27" s="1"/>
  <c r="G66" i="27" s="1"/>
  <c r="G67" i="27" s="1"/>
  <c r="G68" i="27" s="1"/>
  <c r="G69" i="27" s="1"/>
  <c r="G70" i="27" s="1"/>
  <c r="G71" i="27" s="1"/>
  <c r="G72" i="27" s="1"/>
  <c r="G73" i="27" s="1"/>
  <c r="G74" i="27" s="1"/>
  <c r="G75" i="27" s="1"/>
  <c r="G76" i="27" s="1"/>
  <c r="G77" i="27" s="1"/>
  <c r="G78" i="27" s="1"/>
  <c r="G79" i="27" s="1"/>
  <c r="G80" i="27" s="1"/>
  <c r="G81" i="27" s="1"/>
  <c r="G82" i="27" s="1"/>
  <c r="G83" i="27" s="1"/>
  <c r="G84" i="27" s="1"/>
  <c r="G85" i="27" s="1"/>
  <c r="G86" i="27" s="1"/>
  <c r="G87" i="27" s="1"/>
  <c r="G88" i="27" s="1"/>
  <c r="G89" i="27" s="1"/>
  <c r="G90" i="27" s="1"/>
  <c r="G91" i="27" s="1"/>
  <c r="G92" i="27" s="1"/>
  <c r="G93" i="27" s="1"/>
  <c r="G94" i="27" s="1"/>
  <c r="G95" i="27" s="1"/>
  <c r="G96" i="27" s="1"/>
  <c r="G97" i="27" s="1"/>
  <c r="G98" i="27" s="1"/>
  <c r="G99" i="27" s="1"/>
  <c r="G100" i="27" s="1"/>
  <c r="G101" i="27" s="1"/>
  <c r="G5" i="27"/>
  <c r="I133" i="28" l="1"/>
  <c r="I52" i="28"/>
  <c r="F133" i="28"/>
  <c r="F52" i="28"/>
  <c r="F110" i="28"/>
  <c r="I110" i="28"/>
  <c r="D110" i="13"/>
  <c r="D55" i="13"/>
  <c r="E120" i="26" l="1"/>
  <c r="I120" i="26"/>
  <c r="H51" i="26"/>
  <c r="G51" i="26"/>
  <c r="D51" i="26"/>
  <c r="F51" i="26" s="1"/>
  <c r="E51" i="26"/>
  <c r="I100" i="26"/>
  <c r="H100" i="26"/>
  <c r="G100" i="26"/>
  <c r="E100" i="26"/>
  <c r="D100" i="26"/>
  <c r="F100" i="26" s="1"/>
  <c r="D120" i="26"/>
  <c r="F120" i="26" s="1"/>
  <c r="G120" i="26"/>
  <c r="H120" i="26"/>
  <c r="H110" i="13" l="1"/>
  <c r="H55" i="13"/>
  <c r="L105" i="13"/>
  <c r="G150" i="13" l="1"/>
  <c r="G110" i="13"/>
  <c r="K114" i="13" l="1"/>
  <c r="J114" i="13"/>
  <c r="J59" i="13"/>
  <c r="K59" i="13"/>
  <c r="K115" i="13" l="1"/>
  <c r="K116" i="13" s="1"/>
  <c r="K117" i="13" s="1"/>
  <c r="K118" i="13" s="1"/>
  <c r="K119" i="13" s="1"/>
  <c r="K120" i="13" s="1"/>
  <c r="K121" i="13" s="1"/>
  <c r="K122" i="13" s="1"/>
  <c r="K123" i="13" s="1"/>
  <c r="K124" i="13" s="1"/>
  <c r="K125" i="13" s="1"/>
  <c r="K126" i="13" s="1"/>
  <c r="K127" i="13" s="1"/>
  <c r="K128" i="13" s="1"/>
  <c r="K129" i="13" s="1"/>
  <c r="K130" i="13" s="1"/>
  <c r="K131" i="13" s="1"/>
  <c r="K132" i="13" s="1"/>
  <c r="K133" i="13" s="1"/>
  <c r="K134" i="13" s="1"/>
  <c r="K135" i="13" s="1"/>
  <c r="K136" i="13" s="1"/>
  <c r="K137" i="13" s="1"/>
  <c r="K138" i="13" s="1"/>
  <c r="K139" i="13" s="1"/>
  <c r="K140" i="13" s="1"/>
  <c r="K141" i="13" s="1"/>
  <c r="K142" i="13" s="1"/>
  <c r="K143" i="13" s="1"/>
  <c r="K144" i="13" s="1"/>
  <c r="K145" i="13" s="1"/>
  <c r="K146" i="13" s="1"/>
  <c r="K147" i="13" s="1"/>
  <c r="K148" i="13" s="1"/>
  <c r="K149" i="13" s="1"/>
  <c r="J115" i="13"/>
  <c r="J116" i="13" s="1"/>
  <c r="J117" i="13" s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J129" i="13" s="1"/>
  <c r="J130" i="13" s="1"/>
  <c r="J131" i="13" s="1"/>
  <c r="J132" i="13" s="1"/>
  <c r="J133" i="13" s="1"/>
  <c r="J134" i="13" s="1"/>
  <c r="J135" i="13" s="1"/>
  <c r="J136" i="13" s="1"/>
  <c r="J137" i="13" s="1"/>
  <c r="J138" i="13" s="1"/>
  <c r="J139" i="13" s="1"/>
  <c r="J140" i="13" s="1"/>
  <c r="J141" i="13" s="1"/>
  <c r="J142" i="13" s="1"/>
  <c r="J143" i="13" s="1"/>
  <c r="J144" i="13" s="1"/>
  <c r="J145" i="13" s="1"/>
  <c r="J146" i="13" s="1"/>
  <c r="J147" i="13" l="1"/>
  <c r="K154" i="13"/>
  <c r="E150" i="13"/>
  <c r="D150" i="13"/>
  <c r="F113" i="13"/>
  <c r="E110" i="13"/>
  <c r="K60" i="13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J60" i="13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I58" i="13"/>
  <c r="F58" i="13"/>
  <c r="G55" i="13"/>
  <c r="E55" i="13"/>
  <c r="K5" i="13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J5" i="13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148" i="13" l="1"/>
  <c r="J149" i="13" s="1"/>
  <c r="J51" i="13"/>
  <c r="J52" i="13" s="1"/>
  <c r="J53" i="13" s="1"/>
  <c r="J54" i="13" s="1"/>
  <c r="F55" i="13"/>
  <c r="F110" i="13"/>
  <c r="F150" i="13"/>
  <c r="I150" i="13"/>
  <c r="I110" i="13"/>
  <c r="I55" i="13"/>
  <c r="K116" i="12"/>
  <c r="H112" i="12"/>
  <c r="H56" i="12"/>
  <c r="H145" i="12"/>
  <c r="K143" i="11" l="1"/>
  <c r="K149" i="12"/>
  <c r="G145" i="12"/>
  <c r="E145" i="12"/>
  <c r="D145" i="12"/>
  <c r="K117" i="12"/>
  <c r="K118" i="12" s="1"/>
  <c r="K119" i="12" s="1"/>
  <c r="K120" i="12" s="1"/>
  <c r="K121" i="12" s="1"/>
  <c r="K122" i="12" s="1"/>
  <c r="K123" i="12" s="1"/>
  <c r="K124" i="12" s="1"/>
  <c r="K125" i="12" s="1"/>
  <c r="K126" i="12" s="1"/>
  <c r="K127" i="12" s="1"/>
  <c r="K128" i="12" s="1"/>
  <c r="K129" i="12" s="1"/>
  <c r="K130" i="12" s="1"/>
  <c r="K131" i="12" s="1"/>
  <c r="K132" i="12" s="1"/>
  <c r="K133" i="12" s="1"/>
  <c r="K134" i="12" s="1"/>
  <c r="K135" i="12" s="1"/>
  <c r="K136" i="12" s="1"/>
  <c r="K137" i="12" s="1"/>
  <c r="K138" i="12" s="1"/>
  <c r="K139" i="12" s="1"/>
  <c r="K140" i="12" s="1"/>
  <c r="K141" i="12" s="1"/>
  <c r="K142" i="12" s="1"/>
  <c r="K143" i="12" s="1"/>
  <c r="K144" i="12" s="1"/>
  <c r="J116" i="12"/>
  <c r="J117" i="12" s="1"/>
  <c r="J118" i="12" s="1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J131" i="12" s="1"/>
  <c r="J132" i="12" s="1"/>
  <c r="J133" i="12" s="1"/>
  <c r="J134" i="12" s="1"/>
  <c r="J135" i="12" s="1"/>
  <c r="J136" i="12" s="1"/>
  <c r="J137" i="12" s="1"/>
  <c r="J138" i="12" s="1"/>
  <c r="J139" i="12" s="1"/>
  <c r="J140" i="12" s="1"/>
  <c r="J141" i="12" s="1"/>
  <c r="J142" i="12" s="1"/>
  <c r="J143" i="12" s="1"/>
  <c r="J144" i="12" s="1"/>
  <c r="I115" i="12"/>
  <c r="F115" i="12"/>
  <c r="G112" i="12"/>
  <c r="E112" i="12"/>
  <c r="D112" i="12"/>
  <c r="K60" i="12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08" i="12" s="1"/>
  <c r="K109" i="12" s="1"/>
  <c r="K110" i="12" s="1"/>
  <c r="K111" i="12" s="1"/>
  <c r="J60" i="12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08" i="12" s="1"/>
  <c r="J109" i="12" s="1"/>
  <c r="J110" i="12" s="1"/>
  <c r="J111" i="12" s="1"/>
  <c r="I59" i="12"/>
  <c r="F59" i="12"/>
  <c r="G56" i="12"/>
  <c r="E56" i="12"/>
  <c r="D56" i="12"/>
  <c r="K5" i="12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F56" i="12" l="1"/>
  <c r="F112" i="12"/>
  <c r="F145" i="12"/>
  <c r="I56" i="12"/>
  <c r="K151" i="11"/>
  <c r="H113" i="11" l="1"/>
  <c r="G113" i="11"/>
  <c r="E113" i="11"/>
  <c r="D113" i="11"/>
  <c r="H56" i="11"/>
  <c r="F113" i="11" l="1"/>
  <c r="I113" i="11"/>
  <c r="I117" i="11" l="1"/>
  <c r="F117" i="11"/>
  <c r="K61" i="11" l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K101" i="11" s="1"/>
  <c r="K102" i="11" s="1"/>
  <c r="K103" i="11" s="1"/>
  <c r="K104" i="11" s="1"/>
  <c r="K105" i="11" s="1"/>
  <c r="K106" i="11" s="1"/>
  <c r="K107" i="11" s="1"/>
  <c r="K108" i="11" s="1"/>
  <c r="K109" i="11" s="1"/>
  <c r="K110" i="11" s="1"/>
  <c r="K111" i="11" s="1"/>
  <c r="K112" i="11" s="1"/>
  <c r="J61" i="1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K118" i="11"/>
  <c r="H94" i="10" l="1"/>
  <c r="H136" i="10"/>
  <c r="J100" i="10"/>
  <c r="K100" i="10"/>
  <c r="J101" i="10"/>
  <c r="K101" i="10"/>
  <c r="J102" i="10"/>
  <c r="K102" i="10"/>
  <c r="J103" i="10"/>
  <c r="K103" i="10"/>
  <c r="J104" i="10"/>
  <c r="K104" i="10"/>
  <c r="J105" i="10"/>
  <c r="K105" i="10"/>
  <c r="J106" i="10"/>
  <c r="K106" i="10"/>
  <c r="J107" i="10"/>
  <c r="K107" i="10"/>
  <c r="J108" i="10"/>
  <c r="K108" i="10"/>
  <c r="J109" i="10"/>
  <c r="K109" i="10"/>
  <c r="J110" i="10"/>
  <c r="K110" i="10"/>
  <c r="J111" i="10"/>
  <c r="K111" i="10"/>
  <c r="J112" i="10"/>
  <c r="K112" i="10"/>
  <c r="J113" i="10"/>
  <c r="K113" i="10"/>
  <c r="J114" i="10"/>
  <c r="K114" i="10"/>
  <c r="J115" i="10"/>
  <c r="K115" i="10"/>
  <c r="J116" i="10"/>
  <c r="K116" i="10"/>
  <c r="J117" i="10"/>
  <c r="K117" i="10"/>
  <c r="J118" i="10"/>
  <c r="K118" i="10"/>
  <c r="J119" i="10"/>
  <c r="K119" i="10"/>
  <c r="J120" i="10"/>
  <c r="K120" i="10"/>
  <c r="J121" i="10"/>
  <c r="K121" i="10"/>
  <c r="J122" i="10"/>
  <c r="K122" i="10"/>
  <c r="J123" i="10"/>
  <c r="K123" i="10"/>
  <c r="J124" i="10"/>
  <c r="K124" i="10"/>
  <c r="J125" i="10"/>
  <c r="K125" i="10"/>
  <c r="J126" i="10"/>
  <c r="K126" i="10"/>
  <c r="J127" i="10"/>
  <c r="K127" i="10"/>
  <c r="J128" i="10"/>
  <c r="K128" i="10"/>
  <c r="J129" i="10"/>
  <c r="K129" i="10"/>
  <c r="J130" i="10"/>
  <c r="J131" i="10" s="1"/>
  <c r="J132" i="10" s="1"/>
  <c r="J133" i="10" s="1"/>
  <c r="J134" i="10" s="1"/>
  <c r="J135" i="10" s="1"/>
  <c r="K130" i="10"/>
  <c r="K131" i="10"/>
  <c r="K132" i="10"/>
  <c r="K133" i="10"/>
  <c r="K134" i="10"/>
  <c r="K135" i="10"/>
  <c r="J52" i="10"/>
  <c r="K52" i="10"/>
  <c r="J53" i="10"/>
  <c r="K53" i="10"/>
  <c r="J54" i="10"/>
  <c r="K54" i="10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51" i="10"/>
  <c r="K51" i="10"/>
  <c r="I97" i="10"/>
  <c r="K98" i="10"/>
  <c r="K99" i="10" s="1"/>
  <c r="J98" i="10"/>
  <c r="J99" i="10" s="1"/>
  <c r="J5" i="10"/>
  <c r="J6" i="10" s="1"/>
  <c r="J107" i="26" l="1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K104" i="26"/>
  <c r="K105" i="26" s="1"/>
  <c r="K106" i="26" s="1"/>
  <c r="K107" i="26" s="1"/>
  <c r="K108" i="26" s="1"/>
  <c r="K109" i="26" s="1"/>
  <c r="K110" i="26" s="1"/>
  <c r="K111" i="26" s="1"/>
  <c r="K112" i="26" s="1"/>
  <c r="K113" i="26" s="1"/>
  <c r="K114" i="26" s="1"/>
  <c r="K115" i="26" s="1"/>
  <c r="K116" i="26" s="1"/>
  <c r="K117" i="26" s="1"/>
  <c r="K118" i="26" s="1"/>
  <c r="K119" i="26" s="1"/>
  <c r="J104" i="26"/>
  <c r="J105" i="26" s="1"/>
  <c r="J106" i="26" s="1"/>
  <c r="K55" i="26"/>
  <c r="K56" i="26" s="1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K95" i="26" s="1"/>
  <c r="K96" i="26" s="1"/>
  <c r="K97" i="26" s="1"/>
  <c r="K98" i="26" s="1"/>
  <c r="K99" i="26" s="1"/>
  <c r="J55" i="26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J95" i="26" s="1"/>
  <c r="J96" i="26" s="1"/>
  <c r="J97" i="26" s="1"/>
  <c r="J98" i="26" s="1"/>
  <c r="J99" i="26" s="1"/>
  <c r="K123" i="26" l="1"/>
  <c r="K137" i="9"/>
  <c r="F134" i="9"/>
  <c r="K139" i="10"/>
  <c r="D56" i="11" l="1"/>
  <c r="E56" i="11"/>
  <c r="G56" i="11"/>
  <c r="F56" i="11" l="1"/>
  <c r="H147" i="11"/>
  <c r="G147" i="11"/>
  <c r="E147" i="11"/>
  <c r="D147" i="11"/>
  <c r="K119" i="11"/>
  <c r="K120" i="11" s="1"/>
  <c r="K121" i="11" s="1"/>
  <c r="K122" i="11" s="1"/>
  <c r="K123" i="11" s="1"/>
  <c r="K124" i="11" s="1"/>
  <c r="K125" i="11" s="1"/>
  <c r="K126" i="11" s="1"/>
  <c r="K127" i="11" s="1"/>
  <c r="K128" i="11" s="1"/>
  <c r="K129" i="11" s="1"/>
  <c r="K130" i="11" s="1"/>
  <c r="K131" i="11" s="1"/>
  <c r="K132" i="11" s="1"/>
  <c r="K133" i="11" s="1"/>
  <c r="K134" i="11" s="1"/>
  <c r="K135" i="11" s="1"/>
  <c r="K136" i="11" s="1"/>
  <c r="K137" i="11" s="1"/>
  <c r="K138" i="11" s="1"/>
  <c r="K139" i="11" s="1"/>
  <c r="K140" i="11" s="1"/>
  <c r="K141" i="11" s="1"/>
  <c r="K142" i="11" s="1"/>
  <c r="K144" i="11" s="1"/>
  <c r="K145" i="11" s="1"/>
  <c r="K146" i="11" s="1"/>
  <c r="J118" i="11"/>
  <c r="J119" i="11" s="1"/>
  <c r="J120" i="11" s="1"/>
  <c r="J121" i="11" s="1"/>
  <c r="J122" i="11" s="1"/>
  <c r="J123" i="11" s="1"/>
  <c r="J124" i="11" s="1"/>
  <c r="J125" i="11" s="1"/>
  <c r="J126" i="11" s="1"/>
  <c r="J127" i="11" s="1"/>
  <c r="J128" i="11" s="1"/>
  <c r="J129" i="11" s="1"/>
  <c r="J130" i="11" s="1"/>
  <c r="J131" i="11" s="1"/>
  <c r="J132" i="11" s="1"/>
  <c r="J133" i="11" s="1"/>
  <c r="J134" i="11" s="1"/>
  <c r="J135" i="11" s="1"/>
  <c r="J136" i="11" s="1"/>
  <c r="J137" i="11" s="1"/>
  <c r="J138" i="11" s="1"/>
  <c r="J139" i="11" s="1"/>
  <c r="J140" i="11" s="1"/>
  <c r="J141" i="11" s="1"/>
  <c r="J142" i="11" s="1"/>
  <c r="J143" i="11" s="1"/>
  <c r="J144" i="11" s="1"/>
  <c r="J145" i="11" s="1"/>
  <c r="J146" i="11" s="1"/>
  <c r="I60" i="11"/>
  <c r="F60" i="11"/>
  <c r="I56" i="11"/>
  <c r="K5" i="1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I147" i="11" l="1"/>
  <c r="F147" i="11"/>
  <c r="H47" i="10"/>
  <c r="L9" i="16" l="1"/>
  <c r="M9" i="16"/>
  <c r="L10" i="16"/>
  <c r="M10" i="16"/>
  <c r="N10" i="16" s="1"/>
  <c r="L11" i="16"/>
  <c r="M11" i="16"/>
  <c r="M8" i="16"/>
  <c r="L8" i="16"/>
  <c r="N8" i="16" s="1"/>
  <c r="J8" i="16"/>
  <c r="J9" i="16" s="1"/>
  <c r="J10" i="16" s="1"/>
  <c r="J11" i="16" s="1"/>
  <c r="F6" i="16"/>
  <c r="F7" i="16" s="1"/>
  <c r="F8" i="16" s="1"/>
  <c r="N11" i="16" l="1"/>
  <c r="N9" i="16"/>
  <c r="F9" i="16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 s="1"/>
  <c r="J110" i="9"/>
  <c r="J108" i="9"/>
  <c r="J107" i="9"/>
  <c r="J106" i="9"/>
  <c r="J105" i="9"/>
  <c r="J113" i="9"/>
  <c r="J112" i="9"/>
  <c r="J111" i="9"/>
  <c r="J109" i="9"/>
  <c r="J104" i="9"/>
  <c r="J103" i="9"/>
  <c r="J102" i="9"/>
  <c r="J101" i="9"/>
  <c r="J100" i="9"/>
  <c r="J99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F10" i="16" l="1"/>
  <c r="F11" i="16" s="1"/>
  <c r="I50" i="10"/>
  <c r="F50" i="10"/>
  <c r="D94" i="10" l="1"/>
  <c r="E94" i="10"/>
  <c r="G94" i="10"/>
  <c r="I94" i="10" s="1"/>
  <c r="F94" i="10" l="1"/>
  <c r="G136" i="10"/>
  <c r="E136" i="10"/>
  <c r="D136" i="10"/>
  <c r="G47" i="10"/>
  <c r="E47" i="10"/>
  <c r="D47" i="10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J7" i="10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F47" i="10" l="1"/>
  <c r="I47" i="10"/>
  <c r="F136" i="10"/>
  <c r="I136" i="10"/>
  <c r="H134" i="9"/>
  <c r="G134" i="9"/>
  <c r="G94" i="9"/>
  <c r="E134" i="9"/>
  <c r="D134" i="9"/>
  <c r="H94" i="9"/>
  <c r="E94" i="9"/>
  <c r="D94" i="9"/>
  <c r="F94" i="9" s="1"/>
  <c r="J51" i="9"/>
  <c r="J98" i="9" s="1"/>
  <c r="K51" i="9"/>
  <c r="F50" i="9"/>
  <c r="I50" i="9"/>
  <c r="H47" i="9"/>
  <c r="G47" i="9"/>
  <c r="E47" i="9"/>
  <c r="D47" i="9"/>
  <c r="K52" i="9" l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8" i="9" s="1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K109" i="9" s="1"/>
  <c r="K110" i="9" s="1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K129" i="9" s="1"/>
  <c r="K130" i="9" s="1"/>
  <c r="K131" i="9" s="1"/>
  <c r="K132" i="9" s="1"/>
  <c r="K133" i="9" s="1"/>
  <c r="I134" i="9"/>
  <c r="I97" i="9"/>
  <c r="F47" i="9"/>
  <c r="I47" i="9"/>
  <c r="K5" i="9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l="1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K23" i="9" l="1"/>
  <c r="K24" i="9" s="1"/>
  <c r="K25" i="9" s="1"/>
  <c r="K26" i="9" s="1"/>
  <c r="G54" i="26"/>
  <c r="E54" i="26"/>
  <c r="I103" i="26"/>
  <c r="F103" i="26"/>
  <c r="K27" i="9" l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I51" i="26"/>
  <c r="K41" i="9" l="1"/>
  <c r="K42" i="9" s="1"/>
  <c r="K43" i="9" s="1"/>
  <c r="K44" i="9" l="1"/>
  <c r="K45" i="9" s="1"/>
  <c r="K46" i="9" s="1"/>
  <c r="K6" i="26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J6" i="26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l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H42" i="21"/>
  <c r="D42" i="21"/>
  <c r="F42" i="21" s="1"/>
  <c r="E42" i="21"/>
  <c r="G42" i="21"/>
  <c r="K6" i="21" l="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J6" i="2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N128" i="21"/>
  <c r="L82" i="21"/>
  <c r="H43" i="18" l="1"/>
  <c r="G43" i="18"/>
  <c r="D43" i="18"/>
  <c r="J6" i="18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K6" i="18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I43" i="18" l="1"/>
  <c r="F43" i="18"/>
  <c r="L82" i="18" l="1"/>
  <c r="N128" i="18" s="1"/>
  <c r="I120" i="15" l="1"/>
  <c r="H107" i="15"/>
  <c r="G118" i="15" l="1"/>
  <c r="D117" i="15" l="1"/>
  <c r="F107" i="15"/>
  <c r="F108" i="15" s="1"/>
  <c r="F109" i="15" s="1"/>
  <c r="F110" i="15" s="1"/>
  <c r="F111" i="15" s="1"/>
  <c r="F112" i="15" s="1"/>
  <c r="F113" i="15" s="1"/>
  <c r="F114" i="15" s="1"/>
  <c r="F115" i="15" s="1"/>
  <c r="F116" i="15" s="1"/>
  <c r="F132" i="7"/>
  <c r="F133" i="7" s="1"/>
  <c r="F134" i="7" s="1"/>
  <c r="F135" i="7" s="1"/>
  <c r="F136" i="7" s="1"/>
  <c r="F137" i="7" s="1"/>
  <c r="F138" i="7" s="1"/>
  <c r="F139" i="7" s="1"/>
  <c r="F140" i="7" s="1"/>
  <c r="F141" i="7" s="1"/>
  <c r="E19" i="16" l="1"/>
  <c r="D19" i="16"/>
  <c r="I6" i="16"/>
  <c r="F3" i="7" l="1"/>
  <c r="F4" i="7" s="1"/>
  <c r="F5" i="7" s="1"/>
  <c r="F6" i="7" s="1"/>
  <c r="F7" i="7" s="1"/>
  <c r="F8" i="7" s="1"/>
  <c r="F9" i="7" s="1"/>
  <c r="F10" i="7" s="1"/>
  <c r="F11" i="7" s="1"/>
  <c r="F12" i="7" s="1"/>
  <c r="G17" i="7" s="1"/>
  <c r="I17" i="7" s="1"/>
  <c r="F18" i="7" l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02" i="15" l="1"/>
  <c r="E102" i="15"/>
  <c r="E118" i="15" s="1"/>
  <c r="G5" i="15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E128" i="7" l="1"/>
  <c r="D128" i="7"/>
  <c r="I94" i="9" l="1"/>
  <c r="I145" i="12" l="1"/>
  <c r="I112" i="12"/>
</calcChain>
</file>

<file path=xl/sharedStrings.xml><?xml version="1.0" encoding="utf-8"?>
<sst xmlns="http://schemas.openxmlformats.org/spreadsheetml/2006/main" count="2504" uniqueCount="1408">
  <si>
    <t>TOTAL</t>
  </si>
  <si>
    <t>FECHA</t>
  </si>
  <si>
    <t>CONCEPTO</t>
  </si>
  <si>
    <t>INGRESOS</t>
  </si>
  <si>
    <t>DIFERENCIA</t>
  </si>
  <si>
    <t>EGRESOS</t>
  </si>
  <si>
    <t>EFECTIVO</t>
  </si>
  <si>
    <t>Saldo del mes de diciembre/15</t>
  </si>
  <si>
    <t>INGRESOS Y EGRESOS DEL MES DE ENERO/16</t>
  </si>
  <si>
    <t>INGRESOS Y EGRESOS DEL MES DE FEBRERO/16</t>
  </si>
  <si>
    <t>Saldo del mes de Enero/16</t>
  </si>
  <si>
    <t>INGRESOS Y EGRESOS DEL MES DE MARZO/16</t>
  </si>
  <si>
    <t>INGRESOS Y EGRESOS DEL MES DE ABRIL/16</t>
  </si>
  <si>
    <t>Gloria Mazzón Soto, pago por captura de datos egresos, ingresos etc.</t>
  </si>
  <si>
    <t>Advanced Servicio CCTV  y Cómputo, compra de 4 pares transceptores</t>
  </si>
  <si>
    <t>Advanced Servicio CCTV y Cómputo, repración de DVR en conectores</t>
  </si>
  <si>
    <t>Cadena Comercial Oxxo, S.A. de C.V., compra de refrescos y aguas MD</t>
  </si>
  <si>
    <t>Electropura, S. de R.L. de C.V., compra de 3 garrafones de agua</t>
  </si>
  <si>
    <t>Entrega a Grisela Peralta, Cobranza del 1° Domingo de enero/16</t>
  </si>
  <si>
    <t>Ing. Jorge Luis Vázquez, pago de 2 respaldos de USB de 8GB</t>
  </si>
  <si>
    <t>Advanced Servicio CCTV y Cómputo, compra de 1 perfil aluminio pluma</t>
  </si>
  <si>
    <t>Nueva Walmart de México, S de R.L. compra de rosca de reyes vigilanc</t>
  </si>
  <si>
    <t>Estacionamiento Cuemanco, compra de reyes vigilancia y mesa direct.</t>
  </si>
  <si>
    <t>Advanced Servicio CCTV y Cómputo, reparación de pluma vehicular</t>
  </si>
  <si>
    <t>Advanced Servicio CCTV y Cómputo, venta de equipo de computo</t>
  </si>
  <si>
    <t>José Manuel Olivares, compra de bicicleta para vigilancia</t>
  </si>
  <si>
    <t>Advanced Servicio CCTV y Cómputo, reconfiguración de baja de tarjetas</t>
  </si>
  <si>
    <t>Tradición en Pastelerías, S.A. de C.V. junta de Mesa Directiva</t>
  </si>
  <si>
    <t>Entrega a Grisela Peralta, de cheque cobrado de la cobranza 1° domingo</t>
  </si>
  <si>
    <t>Ing. Jorge Luis Vázquez, compra de 1 duplicado de llaves puerta ZB</t>
  </si>
  <si>
    <t>Gustavo Gil, pago por reparación de alumbrado en la calle de Upacuaro</t>
  </si>
  <si>
    <t>Gustavo Gil, pago por reparación de alumbrado en la calle de Recoveco</t>
  </si>
  <si>
    <t>Entrega a Grisela Peralta, cobranza de la 2° semana  cobranza enero/16</t>
  </si>
  <si>
    <t>RESERVA PARA APERTURA DE CUENTA BANCARIA</t>
  </si>
  <si>
    <t xml:space="preserve">Entrega a Baldemar Sala efectivo para deposito </t>
  </si>
  <si>
    <t xml:space="preserve">Entrega a Baldemar Sala cheque   </t>
  </si>
  <si>
    <t>Entrega a Baldemar Sala cheque</t>
  </si>
  <si>
    <t>Entrega a Baldemar Sala cheque #7785 Bancomer</t>
  </si>
  <si>
    <t>Gustavo Gil, pago por observar en donde esta la falla de UP y ZB</t>
  </si>
  <si>
    <t>Oficial Héctor Burgos, por atención a venir al fraccionamiento supervici</t>
  </si>
  <si>
    <t>Luis Hernández, reparación de chapa entrada peatonal de Recoveco</t>
  </si>
  <si>
    <t>Electropura, S. de R.L. de C.V., compra de 4 garrafones de agua</t>
  </si>
  <si>
    <t>Telefonos de México, SAB de C.V. pago mes de diciembre/15</t>
  </si>
  <si>
    <t>SAT Servicio de Administración Tributaria, pago mes de enrro/16</t>
  </si>
  <si>
    <t>Siegrist Contadores Publicos, pago de honorarios del mes enero/16</t>
  </si>
  <si>
    <t>Tienda, compra de aguas y refrescos mesa directiva</t>
  </si>
  <si>
    <t>Estacionamiento, visita al contador Siegrist</t>
  </si>
  <si>
    <t>Servicio Robledo, S.A. de C.V. gasolina mesa directiva</t>
  </si>
  <si>
    <t>Electrupura, S. de R.L. de C.V., compra de 3 garrafones de agua</t>
  </si>
  <si>
    <t>Roberto Miranda, pago por barrer todo el fraccionamiento 1° quincena</t>
  </si>
  <si>
    <t>Guardias y Custodias Gama, pago 1° quincena de enero/16</t>
  </si>
  <si>
    <t>Artemio Mora Torres, pago 1° quincena de enero/16</t>
  </si>
  <si>
    <t>Griseal Peralta Portugal pago 1° quincena de enero/16</t>
  </si>
  <si>
    <t>Entrega a Grisela Peralta, cobranza de la 3° semana cobranza enero/16</t>
  </si>
  <si>
    <t>Ernesto Monrroy, reparción de luz UP temporal se necesita otro cable</t>
  </si>
  <si>
    <t>Nueva Walmart de México, S. de R.L. de C.V., compra material limpieza</t>
  </si>
  <si>
    <t xml:space="preserve">Electropura, S. de R.L. de C.V., compra de 5 garrafones de agua </t>
  </si>
  <si>
    <t>Cadena comercial Oxxo, S.A. de C.V. compra de refrescos MD cobranza</t>
  </si>
  <si>
    <t>Gasolineria, PS S.A. de C.V. gasolina para ir CFE con directivos</t>
  </si>
  <si>
    <t>Estacionamiento Carmar, visita a CFE</t>
  </si>
  <si>
    <t>Fuentes Plaza, A.C., tesoreria</t>
  </si>
  <si>
    <t>Jony Pizza, 2 pizzas para vigilantes como insentivo excelente desempeñ</t>
  </si>
  <si>
    <t>Luis Hernández, mantenimiento, revisión y arreglo de todas la chapas</t>
  </si>
  <si>
    <t>Servicio Robledo, S.A. de .C.V, Miguel Angel Baldera, secretario MD</t>
  </si>
  <si>
    <t>Virginia Hernández Martínez, compra de rueda para puerta Estopila</t>
  </si>
  <si>
    <t>Miguel Angel Balderas, pago por instalar rueda a puerta</t>
  </si>
  <si>
    <t>Centro de copiado y papelería,  pago de 4014 copias, informe fracciona</t>
  </si>
  <si>
    <t>Tlapaleria y Ferretería, compra de tornillos para puerta Estopila</t>
  </si>
  <si>
    <t>Pressem, S.A. de C.V., estacionamiento desayuno Mesa Directiva</t>
  </si>
  <si>
    <t>Grupo Amigos de San Angel, S.A. de C.V., desayuno Mesa Directiva</t>
  </si>
  <si>
    <t>Electropura, S. de R.L. de C.V. compra de 5 garrafones de agua</t>
  </si>
  <si>
    <t>Nueva Walmart de México, S. de R.L. de C.V. compra papelería</t>
  </si>
  <si>
    <t>Estacionamiento, compra de papelería</t>
  </si>
  <si>
    <t>Ferre Electrica Díaz, compra de cable para poste de Zinampa</t>
  </si>
  <si>
    <t>Olegario Vázquez, pago por arreglar bicicleta</t>
  </si>
  <si>
    <t>Pedro Cortes, pago por recoger y barrer basura fin de semana</t>
  </si>
  <si>
    <t>Luis Hernández, pago por trabajo de herrería en poste de luz Zinampa</t>
  </si>
  <si>
    <t>Patrulla 007, en apoyo para que personal del tianguis no se cuelge luz</t>
  </si>
  <si>
    <t>Office Depot de México, S.A. de C.V., pago de copias</t>
  </si>
  <si>
    <t>Cadena comercial Oxxo, S.A. de C.V., compra de refrescos y aguas MD</t>
  </si>
  <si>
    <t>Entrega a Grisela Peralta, cobranza del 4° dominco enero/16</t>
  </si>
  <si>
    <t>Ing. Jorge Vázquez, compra de 25 tarjetas Procord RFID</t>
  </si>
  <si>
    <t>Ing. Jorge Vázquez, cambio de eliminador y tornillería base de pluma</t>
  </si>
  <si>
    <t>Ing. Jorge Vázquez, compra de 5 memorias USB 8 GB para respaldos</t>
  </si>
  <si>
    <t>Entrega a Baldemar Sala cheque #3486 de cobranza 2do. Domingo enero</t>
  </si>
  <si>
    <t>Entrega a Baldemar Sala cheque #250 cuenta Banorte cierre de cuenta</t>
  </si>
  <si>
    <t>Entrega a Baldemar Sala cheque #8018 Santander</t>
  </si>
  <si>
    <t>ENTRO EN ESTA FECHA LA CANTIDAD DE $ 57,315.00 LA CUAL SE REPARTIO</t>
  </si>
  <si>
    <t xml:space="preserve"> </t>
  </si>
  <si>
    <t>Ing. Jorge Vázquez, compra de 2 respaldos eventos en el fraccionamien</t>
  </si>
  <si>
    <t>Ing. Jorge Váquez, compra de material para reparación de plumas</t>
  </si>
  <si>
    <t>Cadena comerial Oxxo, S.A. de C.V.,  compra de refrescos parque y jar</t>
  </si>
  <si>
    <t>Fernando López, Corte de matorrales en ZB que nadie se hace cargo</t>
  </si>
  <si>
    <t>Estacionamiento Cuemanco compra de leches para vigilancia</t>
  </si>
  <si>
    <t>Nueva Walmart de México, S. de R.L. de C.V., compra bebidas vigilancia</t>
  </si>
  <si>
    <t>Jóse Manuel Olivares, compensación por quitar anuncios en todo fracc</t>
  </si>
  <si>
    <t>Jóse Manuel Olivares, trabajo de albañilería explanada Recoveco</t>
  </si>
  <si>
    <t>Electropura, S. de R.L. de C.V. compra de 3 garrafones de agua</t>
  </si>
  <si>
    <t>ABC Distribuidora para la contrucción, compra de material para RV</t>
  </si>
  <si>
    <t>Elena Osorio, pago por limpieza de juegos del parque</t>
  </si>
  <si>
    <t>Panerías la Esperanza, S.A. de C.V., compra de pastel para vigilancia MD</t>
  </si>
  <si>
    <t>Panerias la Esperanza, S.S. de C.V. compra de una vela</t>
  </si>
  <si>
    <t>Fernando López, pago por quitar matorrales con espinas en Zinampa</t>
  </si>
  <si>
    <t>Roberto Miranda, pago por barrer todo el fraccionamiento 2° quincena</t>
  </si>
  <si>
    <t>Roberto Miranda, pago por recolección de macetas en mal estado y bas</t>
  </si>
  <si>
    <t>Pedro Cortes, pago mensual por recolección de basura de lunes a vierne</t>
  </si>
  <si>
    <t>Pedro Cortes, pago por recolección de basura sabado y domingo</t>
  </si>
  <si>
    <t>Entrega a Baldemar Sala cheque # 630  Santander</t>
  </si>
  <si>
    <t>Entrega a Grisela Peralta, cobranza de la 5ta. Semana enero/16</t>
  </si>
  <si>
    <t>Santa Clara, compra de café para mesa directiva cobranza 5to domingo</t>
  </si>
  <si>
    <t>Gustavo Gil, pago por instalación de luz en area de Zinampa</t>
  </si>
  <si>
    <t>Marcela Chávez López, pago por limpieza y desinfectar juegos parque</t>
  </si>
  <si>
    <t>Ing. Jorge Vázquez, pago de 1 respaldo Cuchilla fam. Del Villar</t>
  </si>
  <si>
    <t>Advanced Servicio CCTV y Cómputo, compra 4 tenzores y sujetadores</t>
  </si>
  <si>
    <t>Advanced Servicio CCTV y Cómputo, ant. Mano de obra en cableado plu</t>
  </si>
  <si>
    <t>Cadena Comercial Oxxo, S.A. de C.V., compra de aguas y refrescos MD</t>
  </si>
  <si>
    <t>Gustavo Gil, pago por instalación del cableado 90 m luz en Upacuaro</t>
  </si>
  <si>
    <t>Tienda Chedraui, S.A. de C.V., compra de vasos y lacteos tamales MD</t>
  </si>
  <si>
    <t>Ing. Jorge Vázquez, reconfiguración de 25 tarjetas Procard para plumas</t>
  </si>
  <si>
    <t>Ing. Jorge Vázquez, un respaldo de video Landero 37</t>
  </si>
  <si>
    <t>Cerrajería Gran Sur, compra ded 50 llaves de seguridad</t>
  </si>
  <si>
    <t>Felipe Ruiz, pago en apoyo en la reconección de luz en Upacuaro</t>
  </si>
  <si>
    <t>Panerías La Esperanza, S.A. de C.V. compra pastel vigilancia</t>
  </si>
  <si>
    <t>Panerías La Esperanza, S.A. de C.V. compra una vela</t>
  </si>
  <si>
    <t>Panerías La Esperanza, S.A. de C.V. compra pastel junta mesa directiva</t>
  </si>
  <si>
    <t>Grisela Peralta, compra de alimentos en el transcuros de junta Delegac</t>
  </si>
  <si>
    <t>Oscar Saint, pago por reparación de Luz en Upacuaro</t>
  </si>
  <si>
    <t>Grisela Peralta Portugal, compra de refrescos y aguas para MD cobranza</t>
  </si>
  <si>
    <t>Ivan Luna, patrulla 07, pago en apoyo de rondines por no tener luz</t>
  </si>
  <si>
    <t>Ing. Jorge Luis Vazquez, compra de un sensor de peso para pluma</t>
  </si>
  <si>
    <t>Florería Monsuri, compra de una cruz de flores por el fallecimiento vec</t>
  </si>
  <si>
    <t xml:space="preserve">Floreria Alex, compra de un arreglo floral para vecino </t>
  </si>
  <si>
    <t>SAT Servicio de Administración Tributaria, pago de mes de febrero/16</t>
  </si>
  <si>
    <t>Siegrist Contadores Publicos, pago de honorarios del mes febrero/16</t>
  </si>
  <si>
    <t>Farmacia Cris, compra de cubrebocas y galletas</t>
  </si>
  <si>
    <t>Baldemar Sala Bay, pago de estacionamiento visita contador siegrist</t>
  </si>
  <si>
    <t>Telefonos de México, S.A.B. de C.V., pago del mes de enero/16</t>
  </si>
  <si>
    <t>Gustavo Gil, pago por cambio de luminarias en zinampa y estanzuela</t>
  </si>
  <si>
    <t>Los Unicos y Autenticos Tamales y Atoles, en apoyo del miercoles ceniz</t>
  </si>
  <si>
    <t>Imagen Publicitaría, pago de una lona para dar el pesame a la fam Rueda</t>
  </si>
  <si>
    <t>Administradora Auriga, S.A. de C.V. gasolina para Grisela Peralta</t>
  </si>
  <si>
    <t>Marcela Chávez López, pago por limpieza del kiosko</t>
  </si>
  <si>
    <t>Renilo Muñoz, pago por poda del parque</t>
  </si>
  <si>
    <t>Renilo Muñoz, pago por acarreo de pasto, deshechos, hojarasca y basur</t>
  </si>
  <si>
    <t>Jose Manuel Olivarez, pago por recolección de 8 costales de escombros</t>
  </si>
  <si>
    <t>Office Depot de México, S.A. de C.V., compra de papelería</t>
  </si>
  <si>
    <t>Cadena comercial Oxxo, S.A. de C.V. compra de refresco para la MD</t>
  </si>
  <si>
    <t>Ing. Jorge Vázquez, pago de mano de obra de cambio de cableado plum</t>
  </si>
  <si>
    <t>Office Depot de México, S.A. de C.V. compra de papelería</t>
  </si>
  <si>
    <t>Nueva Walmart de México, S. de R.L. de C.V. compra material limpieza</t>
  </si>
  <si>
    <t>Estacionamiento Cuemanco, por compras de material de limpieza</t>
  </si>
  <si>
    <t>Jóse Manuel Olivares, pago por apoyo en vigilar la reparacion Luz</t>
  </si>
  <si>
    <t>Gustavo Gil, pago por mantenimiento y reparación de luminarías</t>
  </si>
  <si>
    <t>José Manuel Olivares, pago por quitar pancartas dentro y fuera del frac</t>
  </si>
  <si>
    <t>Pedro Cortes, pago por recolectar basura en fin de semana</t>
  </si>
  <si>
    <t>Tienda Chedraui, S.A. de C.V. compra de dulces para MD</t>
  </si>
  <si>
    <t xml:space="preserve">Roberto Miranda, pago 1° quincena febrero, por recolección basura </t>
  </si>
  <si>
    <t>Guardias y Custodias Gama, pago 1° quincena de febrero/16</t>
  </si>
  <si>
    <t>Artemio Mora Torres, pago 1° quincena de febrero/16</t>
  </si>
  <si>
    <t>Griseal Peralta Portugal pago 1° quincena de febrero/16</t>
  </si>
  <si>
    <t>Entrega a Grisela Peralta, cobranza de la 1ra. Semana febrero/16</t>
  </si>
  <si>
    <t>Olegario Vázquez, pago por jardinería en árboll de entrada de Romeral</t>
  </si>
  <si>
    <t>Jose Luis, pago por poda y recoleccón de pasto y hojarasca esq. EP</t>
  </si>
  <si>
    <t>Ing. Jorge Vázquez, pago de 1 respaldo de video Sr. Cooper</t>
  </si>
  <si>
    <t>Entrega a Grisela Peralta, cobranza de la 2ra. Semana febrero/16</t>
  </si>
  <si>
    <t>Ing. Jorge Vázquez, pago de 5 memorias USB para respaldos</t>
  </si>
  <si>
    <t>Olegario Vázquez, pago por jardinería en árbol de entrada de Romeral</t>
  </si>
  <si>
    <t>Olegario Vázquez, pago plantar en maceta de entrada, clareo y fumiga</t>
  </si>
  <si>
    <t>Ing. Jorge Vázquez, pago de 2 relevadores para el No Break de UP y EZ</t>
  </si>
  <si>
    <t>Patrulla 007, pago en apoyo por rondines en todo el fraccionamiento</t>
  </si>
  <si>
    <t>Tradición en Pastelerías, S.A. de C.V., consumo por junta MD quincenal</t>
  </si>
  <si>
    <t>Tradición en Pastelerías, S.A. de C.V., pago propina</t>
  </si>
  <si>
    <t>Olegario Vázquez, pago por poda y recorte de ramas del árbol Romeral</t>
  </si>
  <si>
    <t>CAJA</t>
  </si>
  <si>
    <t>BANCO</t>
  </si>
  <si>
    <t>INICIO DE 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</si>
  <si>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</si>
  <si>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</si>
  <si>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</si>
  <si>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</si>
  <si>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</si>
  <si>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</si>
  <si>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</si>
  <si>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</si>
  <si>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</si>
  <si>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</si>
  <si>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</si>
  <si>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</si>
  <si>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Ing. Jorge Vázquez, reparación de No Break, para Upacuaro</t>
  </si>
  <si>
    <t>Luis Vivas, vigilante en ayuda para montar lona evento miercoles de c</t>
  </si>
  <si>
    <t>Ing. Jorge Vázquez, pago por un respaldo de vedeo en USB ZP # 60</t>
  </si>
  <si>
    <t>Ing. Jorge Vázquez, mano de obra para plumas</t>
  </si>
  <si>
    <t>Gloria Mázzón Soto, pago en apoyo a la cobranza del 3er domingo</t>
  </si>
  <si>
    <t>Administradora Auriga, S.A. de C.V. gasolina para Grisela Peralta MD</t>
  </si>
  <si>
    <t>Office Depot de México, S.A. de C.V. compra de copias y folders</t>
  </si>
  <si>
    <t>Banorte, pago estacionamiento del 22 y 24 de febrero, tramites cuenta</t>
  </si>
  <si>
    <t>Entrega a Grisela Peralta, cobranza de la 3ra. Semana febrero/16</t>
  </si>
  <si>
    <t>Gustavo Gil, reparacion de circuito parque, se cambio cable</t>
  </si>
  <si>
    <t>Ing. Jorge Vázquez, pago de material para camara #9</t>
  </si>
  <si>
    <t>Gustavo Gil, reparación de 3 luminarías del parque y un reflector</t>
  </si>
  <si>
    <t>Gustavo Gil, reparación de contactor en el parque y cambio fotoceldas</t>
  </si>
  <si>
    <t>Sabina, pago de 37 desayunos para trabajadores de reencarpetado</t>
  </si>
  <si>
    <t xml:space="preserve">Roberto Miranda, pago 2° quincena febrero, por recolección basura </t>
  </si>
  <si>
    <t>Pedro Cortes, pago mensual por recolección de basura en todo el fracc</t>
  </si>
  <si>
    <t>Grisela Peralta Portugal, pago 2° quincena mes de febrero/16</t>
  </si>
  <si>
    <t>Guardias y Custodias Gama, pago 2° quincena de febrero/16</t>
  </si>
  <si>
    <t>Artemio Mora Torres, pago 2° quincena de febrero/16</t>
  </si>
  <si>
    <t>Gloria Mazzón Soto, pago por trabajar fin de semana en listados nuevos</t>
  </si>
  <si>
    <t>Saldo del mes de febrero/16</t>
  </si>
  <si>
    <t>Ing. Jorge Vàzquez, pago de 2 respaldos en una sola memorìa</t>
  </si>
  <si>
    <t>Sr. Jairo, pago en apoyo de entrega de documetnos y tarjetas ele.</t>
  </si>
  <si>
    <t>Centro de copiado y papelerìa, compra de 320 copias</t>
  </si>
  <si>
    <t>Tienda del Mercado, compra de bolsas para poster, informaciòn perro</t>
  </si>
  <si>
    <t>Patrulla 007, pago en apoyo en campañas y reparticiòn a todo el fracc.</t>
  </si>
  <si>
    <t>Cadena Comercial Oxxo, S.A. de C.V., compra de agua para patrulla 007</t>
  </si>
  <si>
    <t>Centro de copiado y papelerìa, compra de papelerìa</t>
  </si>
  <si>
    <t>Electropura, S. de R.L. de C.V., compra de 1 garrafon</t>
  </si>
  <si>
    <t>Telefonos de Mèxico, SAB, de C.V. pago telefono mes de febrero/16</t>
  </si>
  <si>
    <t>Tienda del Mercado, compra de 2 paquetes de ligas</t>
  </si>
  <si>
    <t xml:space="preserve">Gloria Mazzòn, pago por captura de datos </t>
  </si>
  <si>
    <t>Constantino Cabrera, pago por poda de pasto en upacuaro</t>
  </si>
  <si>
    <t>Gustavo Gil, pago por reparacion de luminarias del parque</t>
  </si>
  <si>
    <t>Jony Pizza, para el Sr. Olegarìo vigilancia por ser su cumpleaños</t>
  </si>
  <si>
    <t>Panerìas La Esperanza, S.A. de C.V., compra de un pastel para vigilante</t>
  </si>
  <si>
    <t>Pedro Cortes, pago por recolecciòn de basura fin de semana</t>
  </si>
  <si>
    <t>Ing. Jorge Vàzquez, pago por reparaciòn y mantenimiento a lineas</t>
  </si>
  <si>
    <t>Ing Jorge Vàzquez, compra de 1 bobina de cable, 1 bouging y kit conecto</t>
  </si>
  <si>
    <t>Servicio Robledo, S.A. de C.V., compra de gasolina Mesa Directiva</t>
  </si>
  <si>
    <t>Best Buy Stores, S. de R.L. de C.V. compra de una laptop Tesoreria</t>
  </si>
  <si>
    <t>Estacionamiento Best Buy Store, compra de laptop</t>
  </si>
  <si>
    <t>Grisela Peralta, para coprar agua mesa directiv</t>
  </si>
  <si>
    <t>Cadena Comercial Oxxo, S.A. de C.V. compra de refrescos para MD</t>
  </si>
  <si>
    <t>Entrega a Grisela Peralta, cobranza del 07 de marzo 1ra. Semana</t>
  </si>
  <si>
    <t>Office Depot de Mèxico, S.A. de C.V., compra de 1 cartucho epson negro</t>
  </si>
  <si>
    <t>SAT Servicio de Administración Tributaria, pago de mes de marzo/16</t>
  </si>
  <si>
    <t>Siegrist Contadores Publicos, pago de honorarios del mes marzo/16</t>
  </si>
  <si>
    <t>Estacionamiento, visita al Contador Siegrist</t>
  </si>
  <si>
    <t>Electropura, S. de R.L. de C.V., compra de 3 garrafones</t>
  </si>
  <si>
    <t>Centro de Copiado y Papelerìa, pago 600 copias t. carta</t>
  </si>
  <si>
    <t>Marcela Chàvez, Lòpez, pago por concepto de recoleciòn basura y limp</t>
  </si>
  <si>
    <t>Sam`s Club, compra de galletas Mesa Directiva, junta</t>
  </si>
  <si>
    <t>Estacionamiento, Sam`s, compra de galletas</t>
  </si>
  <si>
    <t>Electropura, S. de R.L. de C.V., compra de 2 garrafones</t>
  </si>
  <si>
    <t>Copyfaz, copias</t>
  </si>
  <si>
    <t>Home Depot Mèxico, S. de R.L. de C.V., compra material poste</t>
  </si>
  <si>
    <t>Ing. Jorge Vàzquez, mano de obra en computadora</t>
  </si>
  <si>
    <t>Ing. Jorge Vàzquez, compra de cable tensor, sujetadores metal y elim</t>
  </si>
  <si>
    <t>Gustavo Gil, pago por reparaciòn de 3 luminarìas y renivelar poste</t>
  </si>
  <si>
    <t>Gustavo Gil, reparaciòn de cable en ZB hacia RV por caìda de àrbol</t>
  </si>
  <si>
    <t>Patrulla 007, pago en apoyo en eventos del fraccionamiento</t>
  </si>
  <si>
    <t xml:space="preserve">Manuel Olivarez, pago en apoyo por recolecciòn trafitambos </t>
  </si>
  <si>
    <t>Manuel Olivarez, comida para miembros de vigilancia gamma</t>
  </si>
  <si>
    <t>Ing. Jorge Vàzquez, cableado ZB eq. EZ, cableado Hueso y ZB a EZ</t>
  </si>
  <si>
    <t>Ing. Jorge Vàzquez, reparaciòn de 2 camaras de caseta RV y cambio fuen</t>
  </si>
  <si>
    <t>Cuartel de Bombero, compensaciòn en apoyo a 7 bomberos y su jefe</t>
  </si>
  <si>
    <t xml:space="preserve">Cuartel de Bombero, compensaciòn por apoyo en quitar àrboles </t>
  </si>
  <si>
    <t>Nueva Walart de Mèxico, S. de R.L. de C.V. compra de material limpieza</t>
  </si>
  <si>
    <t>Tradiciòn en Pastelerìas, S.A. de C.V., junta quincenal Mesa Directiva</t>
  </si>
  <si>
    <t>Tradiciòn en Pastelerìas, S.A. de C.v., pago estacionamiento junta MD</t>
  </si>
  <si>
    <t>Electropura, S. de R.L. de C.V. compra de 4 garrafones de agua</t>
  </si>
  <si>
    <t>Roberto Miranda, pago 1er quincena por barrer todo el fraccionamiento</t>
  </si>
  <si>
    <t>Fernando Lòpez, pago por concepto de trabajo de corte de àrbol</t>
  </si>
  <si>
    <t>Entrega a Grisela Peralta de la segunda semana de cobranza</t>
  </si>
  <si>
    <t>Tiendas Chedraui, S.A. de C.V., compra de material de limpieza</t>
  </si>
  <si>
    <t>Churrascarìa Cocina Do Brasil, comida comandante cuadrante 007</t>
  </si>
  <si>
    <t>Operadora Central de Estacionamiento, S.A. de C.V. pago estacionamie</t>
  </si>
  <si>
    <t>Valet Parking y cudado de coche, comida comandante</t>
  </si>
  <si>
    <t>Best Buy Stores, S. de R.L. de C.V. reparaciòn laptop de Baldemar Sala</t>
  </si>
  <si>
    <t>CHEQUES</t>
  </si>
  <si>
    <t>Fam. Chavero Barrera paga la cantidad de $ 1600 posfechado 28/2/16</t>
  </si>
  <si>
    <t>Diferencia</t>
  </si>
  <si>
    <t>103.842.46</t>
  </si>
  <si>
    <t>ENTRE GRISELA PERALTA $ 33,915.00 Y PARA LA RESERVA DE APERTURA POR</t>
  </si>
  <si>
    <t>LA CANTIDAD DE $ $ 23,400.00 A BALDEMAR SALA</t>
  </si>
  <si>
    <t xml:space="preserve">ENERO </t>
  </si>
  <si>
    <t>RECIBOS POR LA CANTIDAD DE $ 217,690.00</t>
  </si>
  <si>
    <t>GASTOS    POR LA CANTIDAD DE $ 112,565.83</t>
  </si>
  <si>
    <t>EN CAJA HABIA                             $      3,799.82</t>
  </si>
  <si>
    <t>EL TOTAL QUE TIENE QUE HABER EN CAJA PUESTO QUE NO HABIA CUENTA EN</t>
  </si>
  <si>
    <t>BANCO ES LA CANTIDAD DE $ 108,923.99</t>
  </si>
  <si>
    <t>DIFERENCIA DE $ 5,081.53</t>
  </si>
  <si>
    <t xml:space="preserve">EN ESTA DIFERENCIA SE ESTA CONTANDO EL CHEQUE POSFECHADO POR LA </t>
  </si>
  <si>
    <t>CANTIDAD DE $ 1,600.00 PESOS , QUE ASI QUEDARIA LA CANTIDAD DE</t>
  </si>
  <si>
    <t>Advanced Servicio CCTV y Còmputo, mantenimieto a plumas salida/ent</t>
  </si>
  <si>
    <t>Electropura, S. de R.L. de C.V. compra de 2 garrafones</t>
  </si>
  <si>
    <t>Constantino Cabrera, pago por quitar raiz de plantas en parque</t>
  </si>
  <si>
    <t>Inmobiliaria Lirca, S.A. de C.V., gasolina Grisela Peralta mesa directiva</t>
  </si>
  <si>
    <t>Electropura, S. de R.L. de C.V., compra de 5 garrafones</t>
  </si>
  <si>
    <t>Office Depot de Mèxico, S.A. de C.V., compra de papelerìa</t>
  </si>
  <si>
    <t>Osvaldo Campos, pago por recolecciòn de hojarasca, hierva y pasto</t>
  </si>
  <si>
    <t>Ing. Jorge Luis Vàzquez, pago mano de obra de cableado camara EP/EZ</t>
  </si>
  <si>
    <t>Sabina Pèrez, pago por concepto de almuerzos para personal parque</t>
  </si>
  <si>
    <t>Osvaldo Campos, corto troncos y ramas muy grandes del parque</t>
  </si>
  <si>
    <t>Guardias y Custodias Gama, pago a/c de la 2° quincena de febrero/16</t>
  </si>
  <si>
    <t>Fernando Lòpez, a/c pago por barrer todo el parque y quitar hojarazca</t>
  </si>
  <si>
    <t>Electropura, S. de R.L. de C.V., compra de 5 garrafones de agua</t>
  </si>
  <si>
    <t>Manuel Flores, compra de sello para la asociaciòn civil del fraccionamie</t>
  </si>
  <si>
    <t>Servicio El Escudo, S.A. de C.V., gasolina Gisela Peralta mesa directiva</t>
  </si>
  <si>
    <t>Imagen Publicitarìa, pago de 1 lona para EZ y EP</t>
  </si>
  <si>
    <t>Patrulla 007, pago por appoyo en rondines nocturnos a la colonia</t>
  </si>
  <si>
    <t>Entrega a Grisela Peralta de la tercera cobranza en efectivo</t>
  </si>
  <si>
    <t>Entrega a Baldemar Sala ch. posfechado del recibo #11011 para deposito</t>
  </si>
  <si>
    <t>Entrega a Baldemar Sala ch. Colegio Carmel para deposito</t>
  </si>
  <si>
    <t>Cheque devuelto</t>
  </si>
  <si>
    <t>Transferencia bancarìa Fam. Vega Sanchez Cuchilla # 29</t>
  </si>
  <si>
    <t>Transferencia bancarìa Fam. Fuentes Upacuaro # 46</t>
  </si>
  <si>
    <t>Entrega a Grisela Peralta de la 4ta semana de cobranza en efectivo</t>
  </si>
  <si>
    <t>Office Depot de Mèxico, S.A. de C.V. compra de cartuchos varios Tesore</t>
  </si>
  <si>
    <t>Cadena Comercial Oxxo, S.A de C.V. compra de refrescos cobranza</t>
  </si>
  <si>
    <t>Fernando López, pago por corta árbol que se callera en el parque</t>
  </si>
  <si>
    <t>Osvaldo Campos, pago por 5 trabajadores para llevarse hojarazca del par</t>
  </si>
  <si>
    <t>Ing. Jorge Luis Vázquez, pago por compra de camara, tendio y colocación</t>
  </si>
  <si>
    <t>Gloria Mazzón, por concepto de pago de honorarios por trabajar en cobran</t>
  </si>
  <si>
    <t>Roberto Miranda, pago 2° quincena por barrer todo el fraccionamiento</t>
  </si>
  <si>
    <t>Javier Escobedo y Fernando López, pago por barrer parque por dos seman</t>
  </si>
  <si>
    <t>Gloria Mazzón, por captura de datos</t>
  </si>
  <si>
    <t>Olegario Vázquez, pago por poda de pasto en la caseta de Romeral</t>
  </si>
  <si>
    <t>Roberto Miranda, pago por barrer zona de Recoveco</t>
  </si>
  <si>
    <t>Guardias y Custodias Gama, liquidación  2° quincena de marzo/16</t>
  </si>
  <si>
    <t>Artemio Mora Torres, pago 2° quincena de marzo/16</t>
  </si>
  <si>
    <t>Griseal Peralta Portugal pago 1° quincena de marzo/16</t>
  </si>
  <si>
    <t>Banorte I.V.A. por comisión de cheque expedido</t>
  </si>
  <si>
    <t>Banorte comisión cheque expedido</t>
  </si>
  <si>
    <t>SUMA</t>
  </si>
  <si>
    <t>EGRESO</t>
  </si>
  <si>
    <t>CHEQUE</t>
  </si>
  <si>
    <t>HOJA   1</t>
  </si>
  <si>
    <t>Cuartel de Bomberos, compra de comida para bomberos por trabajos</t>
  </si>
  <si>
    <t>Entrega a Grisela Peralta cobranza del 28 de febrero 4ta. Semana</t>
  </si>
  <si>
    <t>Luis Villas, pago en apoyo de Bomberos en recolecciòn de cables</t>
  </si>
  <si>
    <t xml:space="preserve">Churrascarìa Cocina Do Brasil, pago propina </t>
  </si>
  <si>
    <t>Saldo del mes de Marzo/16</t>
  </si>
  <si>
    <t>Gloria Mazzòn, pago por apoyo a mesa de cobranza del primer domingo abril</t>
  </si>
  <si>
    <t>Cadena Comercial Oxxo, S.A. de C.V. compra de aguas y refrescos mesa dire</t>
  </si>
  <si>
    <t>Pedro Cortes, pago por recolectar basura del fin de semana</t>
  </si>
  <si>
    <t>Entrega a Grisela Peralta, cobranza 1er domingo de abril/16</t>
  </si>
  <si>
    <t>Ing. Jorge Vàzquez, respaldo de 6 dìas de grabaciòn en Eztanzuela</t>
  </si>
  <si>
    <t>Entrega a Grisela Peralta, la venta de dos llaves de los recibos #11348 y 11349</t>
  </si>
  <si>
    <t>Ing. Jorge Vàzquez, respaldo de 9 horas e calle de Upacuaro</t>
  </si>
  <si>
    <t>Panerìas La Esperanza, S.A. de C.V., compra de pastel festejo asistente MD</t>
  </si>
  <si>
    <t>7 Eleven Mèxico, S.A. de C.V. platos, vasos, refrescos vigilancia y MD</t>
  </si>
  <si>
    <t>Estacionamiento, compra de pastel y refrescos para MD</t>
  </si>
  <si>
    <t>Ing. Jorge Vàzquez, 2 eliminadores de 2 amperes</t>
  </si>
  <si>
    <t>Sabina Pérez Gonzalez, por alimentos para mesa directiva</t>
  </si>
  <si>
    <t>Ing. Jorge Vázquez, mano de obra en camaras y 2 eliminadores UP /HS Y RM</t>
  </si>
  <si>
    <t>Office Depot de M´wxico, S.A. de C.V., compra de papelería para Tesoreria</t>
  </si>
  <si>
    <t>Javier Escobedo y Fernando López, recorte y poda plantas, malesa quiosco</t>
  </si>
  <si>
    <t>Tradición en Pastelerias, S.A. de C.V., junta mesa directiva de los jueves</t>
  </si>
  <si>
    <t>Ing. Jorge Vázquez, dos eliminadores y un par de transceptores</t>
  </si>
  <si>
    <t>Telefonos de México, SAB de C.V. pago mes marzo/16</t>
  </si>
  <si>
    <t>Gloria Mazzón, pago por captura de datos del 04 al 08 de abril/16</t>
  </si>
  <si>
    <t>Pedro Bazzan, pago por recolección de basura fin de semana</t>
  </si>
  <si>
    <t>Estacionamiento, delegación Coyoacan,  visita al deleg. Valentin Maldonado</t>
  </si>
  <si>
    <t>Romero Paredes, compra de café y donas mesa directiva visita a la delegació</t>
  </si>
  <si>
    <t>Luis Vivas, compra de materiales y mano de obra mantenimineto bicicleta</t>
  </si>
  <si>
    <t>Ing. Jorge Vázquez, reparación de camara profesional conexión BNC Monal</t>
  </si>
  <si>
    <t>Entrega a Grisela Peralta, cobranza 2do. Domingo abril/16</t>
  </si>
  <si>
    <t>Luis Hernández, pago por reparación de chapa EZ, ZB y mant. Gral RV</t>
  </si>
  <si>
    <t>Ing. Jorge Vázquez, pago por mano de obra en instalación de camaras</t>
  </si>
  <si>
    <t>Servicio Robledo, S.A. de C.V., compra de gasolina Grisela Peralta MD</t>
  </si>
  <si>
    <t>Estacionammiento y propina visita contador Siegrist</t>
  </si>
  <si>
    <t>Fam Fuentes, remanente identificaciòn</t>
  </si>
  <si>
    <t>Fam Vega Sànchez, remanente identificaciòn</t>
  </si>
  <si>
    <t>Roberto trujillo, compra en tienda refresco y café, visita Contador Siegrist</t>
  </si>
  <si>
    <t>Gloria Mazzón, pago por concepto de captura de datos del 11 al 15 de abril/16</t>
  </si>
  <si>
    <t>Roberto Miranda, pago 1er quincena por barre fraccionamiento</t>
  </si>
  <si>
    <t>Artemio Mora Torres, pago 1° quincena de abril/16</t>
  </si>
  <si>
    <t>Guardias y Custodias Gama, liquidación  1° quincena de abril/16</t>
  </si>
  <si>
    <t>Griseal Peralta Portugal pago 1° quincena de abril/16</t>
  </si>
  <si>
    <t>Pedro Plata, pago por recolección de basura del fracc. fin de semana</t>
  </si>
  <si>
    <t>Estacionamineto Corsa, S.A. de C.V., compra de articulos de limpieza</t>
  </si>
  <si>
    <t>Cadena Comercial Oxxo, S.A. de C.V. compra de agua para mesa de cobranza</t>
  </si>
  <si>
    <t>Pedro Bazzan, pago por recolección de basura el fin de semana</t>
  </si>
  <si>
    <t>Patrulla 007, compensación en apoyo por operativo y liberación de espacios</t>
  </si>
  <si>
    <t>Starbucks Coffe, junta directiva con abogado de la colonia</t>
  </si>
  <si>
    <t>Entrega a Grisela Peralta, cobranza del 3er dominogo de abril/16</t>
  </si>
  <si>
    <t>Colegio Carmel, pago de cuota de mantenimiento fracc. Mes de marzo/16</t>
  </si>
  <si>
    <t>Comercial City Fresko, S. de R.L. de C.V., compra de material de limpieza caseta</t>
  </si>
  <si>
    <t>SAT Servicio de Administración Tributaria, pago de mes de abril/16 CH. # 10</t>
  </si>
  <si>
    <t>Siegrist Contadores Publicos, pago de honorarios del mes abril/16 CH. #10</t>
  </si>
  <si>
    <t>Transferencia bancarìa Fam. Fuentes Upacuaro # 46 abril/16 pago mantenimien</t>
  </si>
  <si>
    <t>Advanced Servicio CCTV y Còmputo, bloqueo de tarjetas de deudores manten</t>
  </si>
  <si>
    <t>Nueva Walmart de Mèxico, S. de R.L. de C.V., compra de presente para Arq.</t>
  </si>
  <si>
    <t>Estacionamiento Cuemanco, compra de presente Arq. Bacheo</t>
  </si>
  <si>
    <t>Gloria Mazzón, pago por concepto de captura de datos del 18 al 22 de abril/16</t>
  </si>
  <si>
    <t>Electropura, S. de R.L. de C.V. compra de 4 garrafones de agua para casetas</t>
  </si>
  <si>
    <t>Roberto Bazzan, pago por recolecciòn de basura en toda la colonia fin de sema</t>
  </si>
  <si>
    <t>Villafaña Pèrez Judith, compra de cafes para mesa de cobranza</t>
  </si>
  <si>
    <t>Cadena Comercial Oxxo, S.A. de C.V. compra de agua para Ing. Vàzquez , plum</t>
  </si>
  <si>
    <t>Fam. Morno LD_68 recibo #11474 pago mant. Ene/feb/mar/abr/16 $ 400 p/mes</t>
  </si>
  <si>
    <t xml:space="preserve">Fam. Atilano Limón RV_183  pago mant. abr/may/jun/16 $ 400 por mes </t>
  </si>
  <si>
    <t>Advanced Servicio CCTV y Cómputo, pago mano de obra en colocar DVR dañado</t>
  </si>
  <si>
    <t>Tecnoplaza Electrónica, S.A. de C.V., compra de DVR AHD 1.0 mp 4 AUDIOS</t>
  </si>
  <si>
    <t>Advanced Servicio CCTV y Cómputo, pago mano de obra reubicacion plato</t>
  </si>
  <si>
    <t>Centro de copiado y papelería, pago de copias, clips y plumas</t>
  </si>
  <si>
    <t>Centro de copiado y papelería, pago de 1 plumon de aceite rojo</t>
  </si>
  <si>
    <t>Cadena Comercial Oxxo, S.A. de C.V.  Café para mesa de cobranza</t>
  </si>
  <si>
    <t xml:space="preserve">Gustavo Gil, pago por arreglo de corto en Calz del Hueso y medio parque </t>
  </si>
  <si>
    <t>Olegario Vázquez, pago por realizar mantenimiento de chapa en EZ</t>
  </si>
  <si>
    <t>Nueva Walmart, de México, S. de R.L. de C.V. compra de articulos de limpieza</t>
  </si>
  <si>
    <t>Inmobiliaria Lirca, S.A. de C.V. gasolina mesa directiva, Grisela Peralta</t>
  </si>
  <si>
    <t>Estacionamiento Cuemanco compra de servilletas y tablon naranja</t>
  </si>
  <si>
    <t>Luis Hernández, pago de arreglo de chapa ZB y EZ, puerta peatoneal</t>
  </si>
  <si>
    <t>Pastelería Bodon, S.A. de C.V., compra de servilletas y tablon naranja día niño</t>
  </si>
  <si>
    <t>Pastelería Bodon, S.A. de C.V., compra de dulces día del niño</t>
  </si>
  <si>
    <t>Luis Vivas, apoyo para gastos funerarios del padre de nuestro elemento vigilan</t>
  </si>
  <si>
    <t xml:space="preserve">Banorte, com. Chq. Exped. </t>
  </si>
  <si>
    <t>Entrega a Grisela Peralta, cobranza del 4 to domingo de abril/16</t>
  </si>
  <si>
    <t>Banorte, I.V.A. com. Chq. Exped.</t>
  </si>
  <si>
    <t>Remanente identificador  Fam. Fuentes  abril/16 pago mantenimien</t>
  </si>
  <si>
    <t>Gloria Mazzón, pago por concepto de captura de datos del 25 al 29 de abril/16</t>
  </si>
  <si>
    <t>Electropura, S. de R.L. de C.V., copra de 5 garrafones de agua</t>
  </si>
  <si>
    <t>Pedro Bazzan, pago por barrer parque por festejo Día del Niño</t>
  </si>
  <si>
    <t>Roberto Miranda, pago 2da. Quincena de abril/16 por barrer todo el fraccionam</t>
  </si>
  <si>
    <t>Pedro Cortes, pago del mes por recolección de basura entre semana del fracc</t>
  </si>
  <si>
    <t>Advanced Servicio CCTV y Cómputo, pago por membrana y botones control r.</t>
  </si>
  <si>
    <t>Advanced Servicio CCTV y Cómputo, pago por reubicación plato lector</t>
  </si>
  <si>
    <t>Artemio Mora Torres, pago 2° quincena de abril/16</t>
  </si>
  <si>
    <t>Guardias y Custodias Gama, A/C  2° quincena de abril/16</t>
  </si>
  <si>
    <t>Guardias y Custodias Gama, liquidación  2° quincena de abril/16</t>
  </si>
  <si>
    <t>Entrega a Grisela Peralta, se cambio un cheque de la cuenta de Banorte GV</t>
  </si>
  <si>
    <t>HOJA   2</t>
  </si>
  <si>
    <t>HOJA   3</t>
  </si>
  <si>
    <t>Estas notas se pagaron con cheque # 19 del 01/04/16  por  $ 5,000.00</t>
  </si>
  <si>
    <t>Cadena Comercial Oxxo, S.A. de C.V., compra de agua para mesa cobranza</t>
  </si>
  <si>
    <t>Cadena Comercial Oxxo, S.A. de C.V., compra de agua cuadrilla tala àrboles</t>
  </si>
  <si>
    <t>Entrega a Grisela Peralta, cobranza 1er domingo de mayo/16</t>
  </si>
  <si>
    <t>Guardias y Custodias Gama, Liq.  2° quincena de abril/16 Cheque #15</t>
  </si>
  <si>
    <t>Transferancia bancaria, Fam. Fuente UP_46 pago mes de mayo/16 mantenim</t>
  </si>
  <si>
    <t>Nueva Walmart de Mèxico, S.A. de C.V. compra de material de limpieza case</t>
  </si>
  <si>
    <t>Estacionamiento Cuemanco, compra de matteriales de limpieza</t>
  </si>
  <si>
    <t>Saldo del mes de Abril/16</t>
  </si>
  <si>
    <t>Telefonos de Mèxico, S.A.B de C.V. pago del mes de abril</t>
  </si>
  <si>
    <t>FINANCIERO</t>
  </si>
  <si>
    <t>DIFERENCIAS</t>
  </si>
  <si>
    <t>Grupo Barrera, compra de 1000 recibos de cuotas de mantenimiento fracc.</t>
  </si>
  <si>
    <t>Office Depot de Mèxico, S.A. de C.V., compra de toner brother, presidencia</t>
  </si>
  <si>
    <t>Servicio El Escudo, S.A. de C.V., compra gasolina mesa directiva, Gisela P.</t>
  </si>
  <si>
    <t>Advanced Servicio CCTV y Còmputo, compra de un lente profesional camara</t>
  </si>
  <si>
    <t>7 Eleven Mèxico, S.A. de CV., compra de cafè para la mesa directiva</t>
  </si>
  <si>
    <t>Patrulla 007, compensaciòn en apoyo patrullaje en todo el fraccionamiento</t>
  </si>
  <si>
    <t>Office Depot de Mèxico, S.A. de C.V., compra de papelerìa para tesoreria</t>
  </si>
  <si>
    <t>Luis Hernàndez, pago por trabajo de arreglo de chapa EZ y ZB</t>
  </si>
  <si>
    <t>Gloria Mazzòn, pago por catura de datos del 2 al 6 de mayo/16</t>
  </si>
  <si>
    <t>Cadena Comercial Oxxo, S.A. de C.V., compra de agua para parques y jardine</t>
  </si>
  <si>
    <t>Cadena Comercial Oxxo, S.A. de C.V, compra de agua mesa de cobranza</t>
  </si>
  <si>
    <t>Pedro Bazzan, pago por recolecciòn de basura los fines de semana</t>
  </si>
  <si>
    <t>Entrega a Grisela Peralta, cobranza 2do. Domingo de mayo/16</t>
  </si>
  <si>
    <t>Vigilancia, compra de tarjeta telefonica a celular para llamadas de emergenc</t>
  </si>
  <si>
    <t>Electropura, S. de R.L. de C.V., copra de 4 garrafones de agua</t>
  </si>
  <si>
    <t>Advanced Servicio CCTV y Còmputo, pago por instalaciòn y reactivaciòn offi</t>
  </si>
  <si>
    <t>Advanced Servicio CCTV y Còmputo, pago licencia para windows 7 profesio</t>
  </si>
  <si>
    <t>Advanced Servicio CCTV y Còmputo, Mano de obra y actualizaciòn tarjetas</t>
  </si>
  <si>
    <t>Sabina Pèrez, pago por 2 dìas de alimentoa s la cuadrilla de desazolve deleg</t>
  </si>
  <si>
    <t>Grisela, pago a jovenes para entrega y doblar todas las circulares del fracc.</t>
  </si>
  <si>
    <t>Centro de Copiado y papelerìa, 2,700 copias para 2do. Informe fraccionami</t>
  </si>
  <si>
    <t>Gloria Mazzòn, pago por captura de datos del 9 al 13 de mayo/16</t>
  </si>
  <si>
    <t>Artemio Mora Torres, pago 1° quincena de mayo/16</t>
  </si>
  <si>
    <t>Griseal Peralta Portugal pago 1° quincena de mayo/16</t>
  </si>
  <si>
    <t>Guardias y Custodias Gama, pago  1° quincena de mayo/16</t>
  </si>
  <si>
    <t>Roberto Miranda, pago 1er quincena por recolección de basura fraccionamie</t>
  </si>
  <si>
    <t>SAT Servicio de Administración Tributaria, pago de mes de mayo/16 CH. # 17</t>
  </si>
  <si>
    <t>Siegrist Contadores Publicos, pago de honorarios del mes mayo16 CH. #16</t>
  </si>
  <si>
    <t>Advanced Servicio CCTV y Còmputo, reparaciòn plua salida y camaras</t>
  </si>
  <si>
    <t>Tradiciòn en Pastelerìas, S.A. de C.V., junta de mesa directiva</t>
  </si>
  <si>
    <t>Cadena Comelcial Oxxo,S.A. de C.V. compra de refrescos para personnal arb</t>
  </si>
  <si>
    <t>Luis Hernàndez, pago por repraciòn de chapa EP y de EZ</t>
  </si>
  <si>
    <t>Advanced Servicio CCTV y Còmputo, pago 1 respaldo de video CL_59</t>
  </si>
  <si>
    <t>Cadena Comercial Oxxo, S.A. de C.V., compra de agua mesa de cobranza</t>
  </si>
  <si>
    <t>Entrega a Grisela Peralta, cobranza 3er. Domingo de mayo/16</t>
  </si>
  <si>
    <t>Consorcio Gasoliero Plus, S.A. de C.V. gasolina mesa directiva, Grisela P.</t>
  </si>
  <si>
    <t>Estacionamiento visita contador Siegrist y propina</t>
  </si>
  <si>
    <t>Advanced Servicio CCTV Còmputo, pago respaldo de video</t>
  </si>
  <si>
    <t>Advanced Servicio CCTV Còmputo, compra de 25 tarjetas y confuraciòn</t>
  </si>
  <si>
    <t>Centro de Copiado y Papelerìa, 225 copias</t>
  </si>
  <si>
    <t>Entrada de efectivo por pago parcial de reparaciòn de pluma</t>
  </si>
  <si>
    <t>Fam. Roy Sànchez ZB_10 pago abr/may/jun/jul/16 ch #3403</t>
  </si>
  <si>
    <t>Estacionamiento Gransur, compra de llaves para puertas de acceso</t>
  </si>
  <si>
    <t>Advanced Servicio CCTV y Còmputo, pago de 1 respaldo de video en USB</t>
  </si>
  <si>
    <t>Olegario Vàzquez, pago por poda y recorte de cesped y arbolitos de RM</t>
  </si>
  <si>
    <t>Colegio Carmel, deposito chq. Pago mantenimiento abril/16</t>
  </si>
  <si>
    <t>Colegio Carmel, pago de manimiento del mes de mayo/16</t>
  </si>
  <si>
    <t xml:space="preserve">Daniel Gama, pago por barrer zona de caseta y alrededor del parque toda </t>
  </si>
  <si>
    <t>Patrulla 007, en apoyo por las noche haciendo rondines toda la semana</t>
  </si>
  <si>
    <t>Gloria Mazzòn, pago por captura de datos del 16 al 20 de mayo/16</t>
  </si>
  <si>
    <t>Cerrajeria Gransur, compra de 30 llaves para acceso puertas peatonales</t>
  </si>
  <si>
    <t>Florerìa Alex, compra de un arreglo floral y pago al padre oficiar misa MD</t>
  </si>
  <si>
    <t>Cadena Comercial Oxxo, S.A. de C.V. compra de agua para café velatorio</t>
  </si>
  <si>
    <t>Cadena Comercial Oxxo, S.A. de C.V. compra de agua mesa de cobranza</t>
  </si>
  <si>
    <t>Cadena Comercial Oxxo, S.A. de C.V. compra de refrescos para junta urgente</t>
  </si>
  <si>
    <t>Centro de Copiado y Papelerìa, pago de copias, lapices y plumas</t>
  </si>
  <si>
    <t>Cadena Comercial Oxxo, S.A. de C.V. compra de refrescos junta urgente</t>
  </si>
  <si>
    <t>Advanced Servicio CCTV y Còmputo, compra de conectores de video balum</t>
  </si>
  <si>
    <t>Cadena Comercial Oxxo, S.A. de C.V. compra de refrescos para cuadrilla</t>
  </si>
  <si>
    <t>Advanced Servicio CCTV y Còmputo, instalaciòn de camara para placas ZB</t>
  </si>
  <si>
    <t>Advanced Servicio CCTV y Còmputo, mantenimiento a 2 camaras para placas</t>
  </si>
  <si>
    <t>Sabina Pèrez, pago por 20 almuerzos para cuadrilla de parques y jardines</t>
  </si>
  <si>
    <t>Gloria Mazzòn, pago por captura de datos del 23 al 27 de mayo/16</t>
  </si>
  <si>
    <t>Camiòn basura, pago por recoger raas de pino que no deja ver la camara RM</t>
  </si>
  <si>
    <t>Personal Gama, pago por recore de ramas de pino que no deja ver camara</t>
  </si>
  <si>
    <t>Patrulla 007 en apoyo por rondines en el fraccionamiento</t>
  </si>
  <si>
    <t>Sabina Pèrez, pago por un pequeño refrigerio para cuadrilla de parques y j</t>
  </si>
  <si>
    <t>Cadena Comercial Oxxo, S.A. de C.V. compra de refrescos cuadrilla poda par</t>
  </si>
  <si>
    <t>Advanced Servicio y Còmputo, pago respaldo de video a USB</t>
  </si>
  <si>
    <t>Advanced Servicio y Còmputo, compra de 10 anuncios de seguridad CCTV</t>
  </si>
  <si>
    <t xml:space="preserve">Manuel Olivares, pago por pintar caseta de ZB </t>
  </si>
  <si>
    <t>Ing. Jorge Vàzquez, pago de broches de plastico con segueta para letreros</t>
  </si>
  <si>
    <t>Pedro Cortes, pago por recolecciòn de basura entre semana todo el mes</t>
  </si>
  <si>
    <t xml:space="preserve">Luis Hernàndez, pago por repraciòn de chapa EP </t>
  </si>
  <si>
    <t>Cadena Comercial Oxxo, S.A. de C.V., compra de refrescos para pintores del</t>
  </si>
  <si>
    <t>Roberto Miranda, pago 2da quincena por recolección de basura fraccionamie</t>
  </si>
  <si>
    <t>Gloria Mazzòn, pago por captura de datos del 30 may al 03 jun/16</t>
  </si>
  <si>
    <t>Entrega a Grisela Peralta cobranza 4to domingo</t>
  </si>
  <si>
    <t>Entrega a Grisela Peralta cobranza 3er domingo de mayo/16</t>
  </si>
  <si>
    <t>Banorte comisiòn de cheques expedido</t>
  </si>
  <si>
    <t>Banorte I.V.A. por comisiòn expediciòn de cheque</t>
  </si>
  <si>
    <t>Pago cuota mantenimiento LD_25 abril/16 deposito en efectivo</t>
  </si>
  <si>
    <t>Pago cuota mantenimiento LD_25 mes de abril y mayo/16 deposito en efec</t>
  </si>
  <si>
    <t>Saldo del mes de Mayo/16</t>
  </si>
  <si>
    <t>Sabine Pérez, pago de 16 almuerzos que se le dieron al personal delegación</t>
  </si>
  <si>
    <t>Cadena Comercial Oxxo, S.A. de C.V. compra de refrescos perosnal delegación</t>
  </si>
  <si>
    <t xml:space="preserve">Cadena Comercial Oxxo, S.A. de C.V. compra de refrescos vigilancia </t>
  </si>
  <si>
    <t xml:space="preserve">Tienda, compra de refrescos a cuadrilla de pintura </t>
  </si>
  <si>
    <t>Nueva Walmart de México, S. de R.L. de C.V., compra materiales de limpieza</t>
  </si>
  <si>
    <t>Cadena Comercial Oxxo, S.A. de C.V., copra de refrescos cuadrilla delegación</t>
  </si>
  <si>
    <t>Secretaría de Marina, compra de gasolina mesa directiva, Grisela Peralta</t>
  </si>
  <si>
    <t>Estacionamiento Cuemanco, pago estacionamiento compra materiales limpi</t>
  </si>
  <si>
    <t>Cadena Comercial Oxxo, S.A. de C.V. compra de agua mesa cobranza 1er dom</t>
  </si>
  <si>
    <t>Sams Club, compra de papel xerox para presidencia</t>
  </si>
  <si>
    <t>Estacionamiento Cuemanco, pago estacionamiento compra papel xerox</t>
  </si>
  <si>
    <t>Pedro Bazzan, pago por recolección basura fin de seman</t>
  </si>
  <si>
    <t>Electropura, S. de R.L. de C.V., compra de 2 garrafones de agua</t>
  </si>
  <si>
    <t>Personal delegación  pago por  arreglar electricidad de upacuaro</t>
  </si>
  <si>
    <t>Advanced Servicio CCTV y Cómputo, compra de eliminadores y transportador</t>
  </si>
  <si>
    <t>Entrega a Grisela Peralta de la cobranza del 1er domingo de junio/16</t>
  </si>
  <si>
    <t>Telefonos de México, SAB de C.V. pago del mes de mayo/16</t>
  </si>
  <si>
    <t>Centro de Copiado y Papelería, pago de 11 enmicados</t>
  </si>
  <si>
    <t>Comercializadora Caspin, S.A. de C.V., compra de brocha para pintar caseta</t>
  </si>
  <si>
    <t>Comercializadora Caspin, S.A. de C.V., compra de cepillo para pintar caseta</t>
  </si>
  <si>
    <t>Panerías La Esperanza, S.A. de C.V., compra de bocadillos junta urgente tarjeto</t>
  </si>
  <si>
    <t>Cadena Comercial Oxxo, S.A. de C.V., compra de refrescos junta urgente</t>
  </si>
  <si>
    <t>Jose Manuel Olivares Tamayos, pago por pintar caseta romeral y estopila</t>
  </si>
  <si>
    <t>Advanced Servicio CCTV y Cómputo, compra de dos camaras fijas alta resolu</t>
  </si>
  <si>
    <t>Manuel Olivares, compra de brocha y cepillo para pintar casetas</t>
  </si>
  <si>
    <t>Advanced Servicio CCTV y Cómputo, compra de encoder para sensor pluma</t>
  </si>
  <si>
    <t>Centro de Copiado y Papelería, 900 copias tamaño carta</t>
  </si>
  <si>
    <t>Cremeraía Lucy, compra de refrescos para cuadrilla delegación pavimentado</t>
  </si>
  <si>
    <t>Gustavo Gil, pago por arreglar calle upacuaro y estopila circuito completo</t>
  </si>
  <si>
    <t>Office Max, compra de papel tamaño carta</t>
  </si>
  <si>
    <t>Office Depot, de México, S.A. de C.V., compra de hologramas para tarjetones</t>
  </si>
  <si>
    <t>Gloria Mazzón, pago por captura de datos del 06 al 10 de junio/16</t>
  </si>
  <si>
    <t>Gloria Mazzón, pago por apoyo en cobranza el domingo 5 de junio 16</t>
  </si>
  <si>
    <t>Entrega a Grisela Peralta de la cobranza del 2do domingo de junio/16</t>
  </si>
  <si>
    <t>Entrega a Grisela Peralta de la cobranza del 2do domingo de junio/16 tarjeton</t>
  </si>
  <si>
    <t>Camión de basura, pago por trabajo de recolección de bultos de arena y hojara</t>
  </si>
  <si>
    <t>Jardinero, pago por corte pasto orilla de banqueta Recoveco y Estopila</t>
  </si>
  <si>
    <t>Manuel Olivares, pago por limpieza a casetas y recolección de basura</t>
  </si>
  <si>
    <t>Cadena Comercial Oxxo, S.A. de C.V., compra de agua mesa de cobranza domi</t>
  </si>
  <si>
    <t>Romero Paredes Victor, compra de 2 café visita junta con Valentin Maldonado</t>
  </si>
  <si>
    <t>Tlapalería La Esmeralda, compra de candado puerta zinampa</t>
  </si>
  <si>
    <t>Migul Angel Baldera, pago en apoyo exraordinario a la Mesa de cobranza</t>
  </si>
  <si>
    <t>Estacionamiento, pago estacionamiento y propina visita delegación</t>
  </si>
  <si>
    <t>Roberto Miranda, pago por barrer toda la colonia 1er quincena junio/16</t>
  </si>
  <si>
    <t>Artemio Mora Torres, pago 1° quincena de junio/16</t>
  </si>
  <si>
    <t>Guardias y Custodias Gama, pago  1° quincena de junio/16</t>
  </si>
  <si>
    <t>Griseal Peralta Portugal pago 1° quincena de junio/16</t>
  </si>
  <si>
    <t>Guardias y Custodias Gama, A/C  2° quincena de mayo/16</t>
  </si>
  <si>
    <t>Artemio Mora Torres, pago 2° quincena de mayo/16</t>
  </si>
  <si>
    <t>El Globo, Tradiciòn en pastelarias, S.A. de .C.V., junta mesa directiva</t>
  </si>
  <si>
    <t>Estacionamiento El Globo, junta de la mesa directiva</t>
  </si>
  <si>
    <t>Patrulla 007, compensaciòn por dondines todo el domingo en el fraccionamie</t>
  </si>
  <si>
    <t>Pedro Bazzan, pago por recolección basura fin de semana</t>
  </si>
  <si>
    <t>SAT Servicio de Administración Tributaria, pago de mes de junio/16 CH. # 22</t>
  </si>
  <si>
    <t>Siegrist Contadores Publicos, pago de honorarios del mes junio/16 CH. #22</t>
  </si>
  <si>
    <t>Estacionamiento visita contado Siegrist</t>
  </si>
  <si>
    <t>Electropura, S. de R.L. de C.V., compra de 6 garrafones de agua</t>
  </si>
  <si>
    <t>Cadena Comercial Oxxo, S.A. de C.V. junta con Abogado para ver lineamentos</t>
  </si>
  <si>
    <t>Gloria Mazzòn, pago en apoyo cobrana del domingo 12/junio/16</t>
  </si>
  <si>
    <t xml:space="preserve">Hector Vazquez, pago por entrega de circulares en todo el fraccionamiendo </t>
  </si>
  <si>
    <t>Camiòn basura pago por recolecciòn de basura zona zinampa en sabado</t>
  </si>
  <si>
    <t>Pedro Bazzan, pago por recoger basura en fin de semana todo fraccionamiento</t>
  </si>
  <si>
    <t>Electropura, S. de R.L. de C.V. compra de 2 garrafones de agua</t>
  </si>
  <si>
    <t>Cadena Comercial Oxxo, S.A. de C.V., compra de agua personal delegaciòn</t>
  </si>
  <si>
    <t>Centro de Copiado y Papeleria, 410 copias tamaño carta</t>
  </si>
  <si>
    <t>Panerìas La Esperanza, S.A. de C.V. compra de galletas para junta Abogado</t>
  </si>
  <si>
    <t>Office Depot, de México, S.A. de C.V., compra papelerìa</t>
  </si>
  <si>
    <t>Tlapalerìa, compra de 1 rollo de neopresno y mano de obra instalaciòn pluma</t>
  </si>
  <si>
    <t>Gloria Mazzòn, pago por captura de datos del 13 al 17 de junio/16</t>
  </si>
  <si>
    <t>Luis Hernàndez, reparaciòn de puerta Estopila, la chapa</t>
  </si>
  <si>
    <t>LaComer, compra de platos para pastel que se les dio a los papas en su dia</t>
  </si>
  <si>
    <t>LaComer, compra de cucharas tiendita para el dia del padre</t>
  </si>
  <si>
    <t>Alimentos la Paloma, S.A. de C.V., compra de 3 pay para el dìa del padre</t>
  </si>
  <si>
    <t>Tienda Miramonte, compra de 2 globos y 1 mantel para festojo dìa padre</t>
  </si>
  <si>
    <t>Cadena Comercial Oxxo, compra de refrescos, café y agua para cobranza domi</t>
  </si>
  <si>
    <t>Entrega a Grisela Peralta cobranza del domingo 19 de junio/16</t>
  </si>
  <si>
    <t>Entrega a Grisela Peralta cobranza del domingo 19 de junio/16 tarjetones</t>
  </si>
  <si>
    <t>Advanced Servicio CCTV y Còmputo, venta de 4 botes de aire comprimido etc</t>
  </si>
  <si>
    <t>Advanced Servicio CCTV y Còmputo, pago de mano de obra intalaciòn cablead</t>
  </si>
  <si>
    <t>Transferancia bancaria, Fam. Fuente UP_46 pago mes de junio/16 mantenim</t>
  </si>
  <si>
    <t>Gloria Mazzòn, pago por apoyo en cobranza del domingo 19 de junio/16</t>
  </si>
  <si>
    <t>Luis Hernàndez, pago por reparar y ajustar puerta llantas Upacuaro</t>
  </si>
  <si>
    <t>Luis Hernàndez, pago por reprar puerta de Cuchilla y Upacuro trabajo herrerìa</t>
  </si>
  <si>
    <t>Gloria Mazzòn Soto, pago por captura de datos del 20 al 24 de junio/16</t>
  </si>
  <si>
    <t>Electropura, S. de R.L. de C.V. compra de 6 garrafones de agua</t>
  </si>
  <si>
    <t>Advanced Servicio CCTV y Còmputo, compra de 1 bobina UTP, tenzores y sujet</t>
  </si>
  <si>
    <t xml:space="preserve">Advanced Servicio CCTV y Còmputo, compra de camara, housing eliminador </t>
  </si>
  <si>
    <t>Villafaña Perez Judith, compra de 5 café mesa de combranza domingo</t>
  </si>
  <si>
    <t>Gloria Mazzòn Soto, pago por apoyo en cobranza domingo 26 de julio</t>
  </si>
  <si>
    <t>Entrega a Grisela Peralta cobranza del domingo 26 de junio/16</t>
  </si>
  <si>
    <t>Entrega a Grisela Peralta cobranza del domingo 26 de junio/16 tarjetones</t>
  </si>
  <si>
    <t>Alberto Reyes, pago de comida para cuadrilla delegaciòn dragado y desasolve</t>
  </si>
  <si>
    <t xml:space="preserve">Advanced Servicio CCTV y Còmputo, repraciòn de pluma que se rompio por </t>
  </si>
  <si>
    <t>Deposito de cheque #28 Colegio Carmel, pago cuota-mantenimiento junio/16</t>
  </si>
  <si>
    <t>Pedro Bazzan, recolección de basura de toda la colonia fin de semana</t>
  </si>
  <si>
    <t>José Luis Noriega, pago por arreglo de puerta de Landero y compra material</t>
  </si>
  <si>
    <t>Apolinar de La Cruz, pago combra de paraguas para cobranza</t>
  </si>
  <si>
    <t>Roberto Miranda, pago por barrer toda la colonia 2er quincena junio/16</t>
  </si>
  <si>
    <t>Artemio Mora Torres, pago 2° quincena de junio/16</t>
  </si>
  <si>
    <t>Guardias y Custodias Gama, A/C  2° quincena de junio/16</t>
  </si>
  <si>
    <t>Fernando Sosa, pago acta constitutiva ch. # 27 chequera</t>
  </si>
  <si>
    <t>Cerrajería Gransur, compra 30 duplicados de llaves</t>
  </si>
  <si>
    <t>Advanced Servicio CCTV y Cómputo, pago mano de obra mantenimiento 3 circ</t>
  </si>
  <si>
    <t>Banorte, pago por  com. cheq. Exp.</t>
  </si>
  <si>
    <t>Banorte, pago por I.V.A.  Com. Cheq. Exp.</t>
  </si>
  <si>
    <t>Telefonos de México, SAB de C.V. pago del mes de junio/16</t>
  </si>
  <si>
    <t>JUNIO    2016</t>
  </si>
  <si>
    <t>Ital Café, S.A. de C.V., desayuno Mesa Directiva y Comité vecinal</t>
  </si>
  <si>
    <t>Cadena Comercial Oxxo, compra de refrescos para reparadores de pluma</t>
  </si>
  <si>
    <t>Estacionamiento Cuemanco pago de desayuno Mesa Directiva y Comitè</t>
  </si>
  <si>
    <t>Osvaldo Campos, recolecciòn de dos bolsas y costa de pasto y cascajo RM</t>
  </si>
  <si>
    <t>Gustavo Gil, pago por valorar el  arreglo del circuito de  Z inampa</t>
  </si>
  <si>
    <t>Gloria Mazzòn, pago por captura de datos del 27 de junio al 01 de julio/16</t>
  </si>
  <si>
    <t>Cadena Comercial Oxxo, compra de agua  y refrescos para mesa de cobranza</t>
  </si>
  <si>
    <t>Cadena Comercial Oxxo, compra de agua y refrescos para mesa de cobranza</t>
  </si>
  <si>
    <t>Entrega a Grisela Peralta, cobranza del domingo 03 de julio/16</t>
  </si>
  <si>
    <t>Advanced Servicio CCTV y Còmputo, compra de cable para pluma de ZB</t>
  </si>
  <si>
    <t>Cadena Comercial Oxxo, S.A. de C.V., compra de refrescos para junta Gama</t>
  </si>
  <si>
    <t>Advanced Servicio CCTV y Còmputo,  compra de eliminador RV 1 para de trans</t>
  </si>
  <si>
    <t>Gloria Mazzòn, pago en apoyo de cobranza de tarjetones domingo</t>
  </si>
  <si>
    <t>Tiendas Comercial Mexicana, S.A. de C.V., compra de material de limpieza</t>
  </si>
  <si>
    <t>Advanced Servicio CCTV y Còmputo, compra de 1 camara, 1 housin 1 par trans</t>
  </si>
  <si>
    <t>Advanced Servicio CCTV y Còmputo, compta de dos bobinas y mano de obra</t>
  </si>
  <si>
    <t>Office Depot de Mèxico, S.A. de C.V. compra de papelerìa</t>
  </si>
  <si>
    <t>Advanced Servicio CCTV y Còmputo, compra de sujetadores y correcciòn corre</t>
  </si>
  <si>
    <t>Gloria Mazzòn, pago por captura de datos del 04 al 08 de julio/16+</t>
  </si>
  <si>
    <t>Cadena Comercial Oxxo, S.A. de C.V., compra de refrescos para personal limp</t>
  </si>
  <si>
    <t>Marcela Càvez Lòpez, pago por limpieza y mantenimiento de kiosco y alreded</t>
  </si>
  <si>
    <t>Pedro Bazzan, pago por recolectar basura fin de semana de la colonia</t>
  </si>
  <si>
    <t>Patrulla 007, conpensaciòn por rondines madrugada para retirar unidad mal es</t>
  </si>
  <si>
    <t xml:space="preserve">Cadena Comercial Oxxo, S.A. de C.V. compra de café para mesa de cobranza </t>
  </si>
  <si>
    <t>Cadena Comercial Oxxo, S.A. de C.V., compra de refresco para vigilancia</t>
  </si>
  <si>
    <t>Glorìa Mazzòn, pago en apoyo cobranza de tarjetones domingo</t>
  </si>
  <si>
    <t>Roberto Miranda, pago por recolecciòn de basura entre semana 1er quincena</t>
  </si>
  <si>
    <t>Entrega a Grisela Peralta, cobranza del domingo 10 de julio/16</t>
  </si>
  <si>
    <t>Artemio Mora Torres, pago 1° quincena de julio/16</t>
  </si>
  <si>
    <t>Guardias y Custodias Gama, pago  1° quincena de julio/16</t>
  </si>
  <si>
    <t>Griseal Peralta Portugal pago 1° quincena de julio/16</t>
  </si>
  <si>
    <t>Gloria Mazzòn, pago por captura de datos del 11 al 15 de julio/16</t>
  </si>
  <si>
    <t>Comercial City Fresko S. de R.L. de C.V. compra de material de papelerìa</t>
  </si>
  <si>
    <t>Nueva Wal Mart de Mèxico, S. de R.L. de C.V., compra de cafetera vigilancia</t>
  </si>
  <si>
    <t>Nueva Wal Mart de Mèxico, S. de R.L. de C.V., compra de material de limpieza</t>
  </si>
  <si>
    <t>Estacionamiento Cuemanco compra de materiales de limpieza</t>
  </si>
  <si>
    <t>Luis Hernàndez, reparaciòn de chapa de EZ y EP, aceitar todas las chpas peato</t>
  </si>
  <si>
    <t>Luis Hernàndez, reparaciòn de puertas vehicular LD, trabajo de herrerìa, llanta</t>
  </si>
  <si>
    <t>Comercializadora Caspin, S.A. de C.V., compra de rodillo y repuesto</t>
  </si>
  <si>
    <t>Advanced Servicio CCTV y Còmputo, pago mano de obra instalaciòn</t>
  </si>
  <si>
    <t>Cadena Comercial Oxxo, S.A. de C.V., compra de café para mesa de cobranza</t>
  </si>
  <si>
    <t>Pedro Bazzan, recolecciòn de basura colonia fin de semana</t>
  </si>
  <si>
    <t>Manuel Olivares, pago por pintar señalizaciones de zona de peligro fracciona</t>
  </si>
  <si>
    <t>Roberto Miranda, recolecciòn camiòn fin de semana y barrer</t>
  </si>
  <si>
    <t>ING. CHEQ.</t>
  </si>
  <si>
    <t>EGRE CHEQ.</t>
  </si>
  <si>
    <t>SUMA ING</t>
  </si>
  <si>
    <t>SUMA EGRE</t>
  </si>
  <si>
    <t>DEFICIT/</t>
  </si>
  <si>
    <t>SUPERAVIT</t>
  </si>
  <si>
    <t>EN ESTE MES NO SE REFLEJA DEFICIT EN VIRTUD DE</t>
  </si>
  <si>
    <t xml:space="preserve">QUE SE TUVIERON INGRESOS EXTRAORDINARIOS </t>
  </si>
  <si>
    <t>CON LA VENTA DE TARJETONES.       DE NO HABER</t>
  </si>
  <si>
    <t>TENIDO ESTA VENTA EL DEFICIT HUBIERA SIDO DE</t>
  </si>
  <si>
    <t xml:space="preserve">                            ANALISIS COMPARATIVO ENTRE LOS INGRESOS Y LOS EGRESOS EN EL PRESENTE AÑO </t>
  </si>
  <si>
    <t>Electroura, S. de R.L. de V.C.V. compra de 4 garrafones de agua</t>
  </si>
  <si>
    <t>Advanced Servicio CCTV y Còmputo, pago de 1 DVR 4 canales y 1 camara Hous</t>
  </si>
  <si>
    <t>Sr. Roldan, compra de refrescos trabajadores del parque colocaciòn de ejercit</t>
  </si>
  <si>
    <t>Advanced Servicio CCTV y Còmputo, pago repraciòn de camara CNB de UP</t>
  </si>
  <si>
    <t>Ing. Jorge Vàzquez, para comprar pilas 23A para control de plumas</t>
  </si>
  <si>
    <t>Sabina Pèrez Gònzalez, pago de 12 aluersos para trabajadores desazolve EZ</t>
  </si>
  <si>
    <t>Advanced Servicio CCTV y Còmputo, mano de obra reinstalaciòn camara UP</t>
  </si>
  <si>
    <t>Advanced Servicio CCTV y Còmputo, Compra de 30 tarjetas procard CH #30</t>
  </si>
  <si>
    <t>SAT Servicio de Administración Tributaria, pago de mes de julio/16 CH. # 32</t>
  </si>
  <si>
    <t>Siegrist Contadores Publicos, pago de honorarios del mes julio/16 CH. #31</t>
  </si>
  <si>
    <t>Administradora Auriga S.A. de C.V. gasolina mesa directiva Girsela Peralta</t>
  </si>
  <si>
    <t>Advanced Servicio CCTV y Cómputo, pago de 1 respaldo de video ZB</t>
  </si>
  <si>
    <t>Advanced Servicio CCTV y Cómputo, pago por configuración de 30 tarjetas pro</t>
  </si>
  <si>
    <t>Luis Hernández, pago por arregar la pluma RM y soldar la puerta de EP</t>
  </si>
  <si>
    <t>Estacionamiento Cuemando, visita Starbucks, mesa directiva</t>
  </si>
  <si>
    <t>Starbucks Coffe, compra de café para Tesorero y Presidenta</t>
  </si>
  <si>
    <t>Entreada Grisela Peralta, cobranza del 3er domingo de julio/16</t>
  </si>
  <si>
    <t>Sr. Roldan, compra de refrescos trabajadores del dragado y desazolve EZ</t>
  </si>
  <si>
    <t>Estacionamiento y valet parking visita contador mesa dirctiva</t>
  </si>
  <si>
    <t>Sabina Pérez González, pago de 16 almuerzos para trabajadores de dragado y</t>
  </si>
  <si>
    <t>Gloria Mazzón, pago por captura de datos del 18 al 22 de julio/16</t>
  </si>
  <si>
    <t>Centro de copiado y papelería, pago de 450 copias de circulares información</t>
  </si>
  <si>
    <t>Advanced Servicio CCTV y Cómputo, compra de 1 camara bitek</t>
  </si>
  <si>
    <t>Héctor Vázquez, pago por entrega de circular a la colonia información urgente</t>
  </si>
  <si>
    <t>Sr. Roldan, compra de refrescos cuadrilla tala y poda de árboles en EZ</t>
  </si>
  <si>
    <t>Manuel Olivares, pago en apoyo evento Delegado Valentin</t>
  </si>
  <si>
    <t>Cadena Comercial Oxxo, S.A. de C.V., compra de refrescos para vigilancia</t>
  </si>
  <si>
    <t>Villafaña Pérez Judith, compra de 1 café mesa de cobranza domingo</t>
  </si>
  <si>
    <t>Federico Medía, pago de almuerzos para cuadrilla de poda en colonia</t>
  </si>
  <si>
    <t>Roberto Medina, pago por recolección basura y barrer parque urgentemente</t>
  </si>
  <si>
    <t xml:space="preserve">Cuadrilla de parque, compra de refrescos y botanas para ellos </t>
  </si>
  <si>
    <t>Gloria Mazzón, pago en apoyo en cobranza del 4 domingo julio</t>
  </si>
  <si>
    <t>Héctor Vázquez, pago por doblar y engragar casa por casa informe semestral</t>
  </si>
  <si>
    <t>Entrega a Grisela Peralta cobranza del 3er domingo de julio/16</t>
  </si>
  <si>
    <t xml:space="preserve">Advanced Servicio CCTV y Cómputo, arreglo de pluma </t>
  </si>
  <si>
    <t>Manuel Flores R. pago de 120 almuerzos para personal delegación distintas ser</t>
  </si>
  <si>
    <t>Sabina Pérez González, pago por 27 almuerzos para personal de poda del parq</t>
  </si>
  <si>
    <t>Centro de copiado y papelería, pago de 150 juegos de 4 copias informe semes</t>
  </si>
  <si>
    <t>Grisela Peralta, compra de agua, refrescos a cuadrilla de la delegación</t>
  </si>
  <si>
    <t>Gloria Mazzón, pago por captura de datos del 25 al 29 de julio/16</t>
  </si>
  <si>
    <t>Roberto Miranda, pago por barrer toda la colonia 2er quincena julio/16</t>
  </si>
  <si>
    <t>Artemio Mora Torres, pago 2° quincena de julio/16</t>
  </si>
  <si>
    <t>Pedro Bazzan, recolección de basura en la colonia en fin de semana</t>
  </si>
  <si>
    <t>Guardias y Custodias Gama, pago de la  2° quincena de julio/16</t>
  </si>
  <si>
    <t>Guardias y Custodías Gama, a/c de la primera quincena de Agosto</t>
  </si>
  <si>
    <t>Sabina Pérez, pago de 8 almuerzos para personal de recolección de pasto</t>
  </si>
  <si>
    <t>Electropura, S. de R.L. de C.V., compra de7 garrafones de agua</t>
  </si>
  <si>
    <t>Sabina Pérez, pago de 8 comidas para trabajadores delegación juegos</t>
  </si>
  <si>
    <t>Guardías y Custodías Gama, a/c de la primera quincena de Agosto</t>
  </si>
  <si>
    <t xml:space="preserve">Advanced Servicio CCTV y Cómputo, pago mano de obra en instalación varias </t>
  </si>
  <si>
    <t>Luis Hernández, pago por arregarl chapa de la puerta Estopila</t>
  </si>
  <si>
    <t>Entrega a Grisela Peralta cobranza del 5to domingo de julio/16</t>
  </si>
  <si>
    <t>JULIO    2016</t>
  </si>
  <si>
    <t>Alberto Augusto Fuentes, pago cuota de mantenimiento julio/16 UP_46</t>
  </si>
  <si>
    <t>Banorte com. Chq. Expedido</t>
  </si>
  <si>
    <t>Banorte I.V.A. com. Chq. Expedido</t>
  </si>
  <si>
    <t>Saldo del mes de julio/16</t>
  </si>
  <si>
    <t>AGOSTO    2016</t>
  </si>
  <si>
    <t>Saldo del mes de junio/16</t>
  </si>
  <si>
    <t>Ing. Jorge Vàzquez, compra de 4 tornillos de expanciòn</t>
  </si>
  <si>
    <t>Electropura S. de R.L. de C.V., compra de 6 garrafones de agua</t>
  </si>
  <si>
    <t>Advanced Servicio CCTV y Còmputo, compra de un perfil de aluminio p/ base</t>
  </si>
  <si>
    <t>Grisela Peralta, compra de refrescos y botanas personal delegaciòn señalizaci</t>
  </si>
  <si>
    <t>Advanced Servicio CCTV y Còmputo, compra de 1 respaldo de video reja EP</t>
  </si>
  <si>
    <t>Advanced Servicio CCTV y Còmputo, compra de 1 respaldo de video CL y RM</t>
  </si>
  <si>
    <t xml:space="preserve">Nueva Walmart de Mèxico,, S. de R.L. de C.V., compra de galletas para junta </t>
  </si>
  <si>
    <t>Office Depot de Mèxico, S.A. de C.V., compra de toner brother presidencia</t>
  </si>
  <si>
    <t>Cadena Comercial Oxxo, S.A. de C.V. compra de refrescos para personal  parqu</t>
  </si>
  <si>
    <t>Cadena Comercial Oxxo, S.A. de C.V. compra de papel para caseta Romeral</t>
  </si>
  <si>
    <t>Sabine Pèrez, compra de almuerzos para personal de explanada p/kiosco</t>
  </si>
  <si>
    <t>Grisela Peralta, compra de refrescos, botana y agua para trabajadores deleg.</t>
  </si>
  <si>
    <t>Gloria Mazzòn, pago por captura de datos del 01 al 05 de agosto/16</t>
  </si>
  <si>
    <t>Sabine Pèrez, compra de almuerzos para personal de explanada en kiosco</t>
  </si>
  <si>
    <t>Olegario Vàzquez, pago por corte de pasto en caseta Romeral</t>
  </si>
  <si>
    <t>Patrulla 007, pago en apoyo patrullaje sector sur ayudar a el fraccionamiento</t>
  </si>
  <si>
    <t>Cadena Comercial Oxxo, S.A. de C.V. compra de café para mesa de cobranza</t>
  </si>
  <si>
    <t>Entrega a Grisela Peralta cobranza del primer domingo de agosto/16</t>
  </si>
  <si>
    <t>Gloria Mazzòn, pago en apoyo cobranza domingo 07 de agosto/16</t>
  </si>
  <si>
    <t>Advanced Servicio CCTV y Còmputo, pago de reparaciòn de computadora MD</t>
  </si>
  <si>
    <t>Electropura, S. de R.L. de C.V., compra de 8 garrafones de agua</t>
  </si>
  <si>
    <t>Luis Hèrnandez, pago por repraciòn de chapa Estopila</t>
  </si>
  <si>
    <t>Luis Hèrnandez, pago por arreglo tapa de registro herrerìa</t>
  </si>
  <si>
    <t>Osvaldo Campos, pago por llevarse escombros frente a Estopila y Landero</t>
  </si>
  <si>
    <t>Tlapalerìa y Ferreterìa el Hueso, material para el alumbrado kiosko</t>
  </si>
  <si>
    <t>Magic Led, copra de material para el alumbrado kiosco interno</t>
  </si>
  <si>
    <t>Electrica Saavedra, S.A. de C.V., compra de material electrico alumbrado int. K</t>
  </si>
  <si>
    <t>Sabine Pèrez, compra de tortas para personal delegaciòn trabajando tarde</t>
  </si>
  <si>
    <t>Carolina Gutièrrez Quiroz, compra de 1 motosierra para donaciòn bomberos</t>
  </si>
  <si>
    <t>Ferrecompre, compra de un taladro para trabajos varios del fraccionamiento</t>
  </si>
  <si>
    <t>Cadena Comercial Oxxo, S.A. de C.V. compra de refrescos personal delegacion</t>
  </si>
  <si>
    <t>Jorge Calderòn, compra de tortas personal delegaciòn trabajando tarde kiosco</t>
  </si>
  <si>
    <t>Grisela Peralta, compra de tortas para persoanl delegaciòn trabajando tarde</t>
  </si>
  <si>
    <t>Banorte Com. Por estado de cuenta</t>
  </si>
  <si>
    <t>Banorte I.V.A. com. Estado de cuenta</t>
  </si>
  <si>
    <t>Roberto Miranda, pago en apoyo de limpieza en todo el fraccionamiento durante jul/ago/</t>
  </si>
  <si>
    <t>Nueva Walmart de Mèxico., S. de R.L. de C.V. compra de mateiral de limpieza</t>
  </si>
  <si>
    <t>Tiendas Comercial Mexicana, S.A. de C.V., compra de focos para circuito ZB</t>
  </si>
  <si>
    <t>Telefonos de Mèxico, SAB, S.A. de C.V. pago del mes de junio/16</t>
  </si>
  <si>
    <t>Nueva Walmart de Mèxico., S. de R.L. de C.V. compra de dosificador de agua caseta</t>
  </si>
  <si>
    <t>Gloria Mazzòn, pago por captura de datos del 08 al 12 de agosto del 2016</t>
  </si>
  <si>
    <t>Advanced Servicio CCTV y Còmputo, pago por cambio de ventilador Laptop mesa directiva</t>
  </si>
  <si>
    <t>Servicio Divisiòn S.A. de C.V., compra de gasolina Grisela Peralta Mesa Directiva</t>
  </si>
  <si>
    <t>Sabina Pèrez, pago de 3 comidas para personal delegaciòn explanada trabajaron tarde</t>
  </si>
  <si>
    <t xml:space="preserve">Centro de Copiado y Papelerìa, 450 copias b/n </t>
  </si>
  <si>
    <t>Advanced Servicio CCTV y Còmputo, compra de tarjetas procard</t>
  </si>
  <si>
    <t>Sabina Perez, pago de 32 desayunos para personal de delegaciòn de la expanada parque</t>
  </si>
  <si>
    <t>Elena Osorio, compra de una canasta de fruta para Elena Osorio</t>
  </si>
  <si>
    <t>Advanced Servicio CCTV y Còmputo, pago de mano de obra Sofwar laptop mesa directiva</t>
  </si>
  <si>
    <t xml:space="preserve">Constantino Cabrera, compra de material para poda de parque </t>
  </si>
  <si>
    <t>Patrulla 007, pago en apoyo rescate de un bebe calle Landero que se quedo en VMW</t>
  </si>
  <si>
    <t xml:space="preserve">Olegario Vàzquez, pago por repraraciòn de bicicleta </t>
  </si>
  <si>
    <t>Luis Hernàndez, terminò trabajo de registro en la calle Landero</t>
  </si>
  <si>
    <t>Pedro Bazzan, pago por recolección fin de semana fraccionamiento</t>
  </si>
  <si>
    <t>Cadena Comercial Oxxo, S.A. de C.V., compra de refrescos para mesa de cobranza y vigila</t>
  </si>
  <si>
    <t>Patrulla 007, pago en apoyo caso de predio de cuchilla ayuda para localizar dueño</t>
  </si>
  <si>
    <t>Francisco Daniel Pérez, pago por limpiar, pintar y arreglar caseta</t>
  </si>
  <si>
    <t>Francisco Daniel Pérez, compra de material cepillo y brocha para limpiar y pintar caseta</t>
  </si>
  <si>
    <t>Artemio Mora Torres, pago 1° quincena de agosto/16</t>
  </si>
  <si>
    <t>Guardias y Custodias Gama, pago  1° quincena de agosto/16</t>
  </si>
  <si>
    <t>Griseal Peralta Portugal pago 1° quincena de agosto/16</t>
  </si>
  <si>
    <t>Roberto Miranda, pago por recolección de basura de la era quincena de agoslto/16</t>
  </si>
  <si>
    <t>Gloria Mazzón, pago en apoyo domingo de cobranza 31/julio/16</t>
  </si>
  <si>
    <t>Entrega a Grisela Peralta cobranza del segundo domingo del mes de agosto/16</t>
  </si>
  <si>
    <t>Cadena Comercial Oxxo, S.A. de C.V., compra de café para mesa de cobranza domingo 14</t>
  </si>
  <si>
    <t>SAT Servicio de Administración Tributaria, pago de mes de agosto/16 CH. # 36</t>
  </si>
  <si>
    <t>Siegrist Contadores Publicos, pago de honorarios del mes agosto/16 CH. #35</t>
  </si>
  <si>
    <t>Advanced Servicio CCTV y Cómputo, S.A. de C.V. compra de 2 botes de aire comprimido</t>
  </si>
  <si>
    <t>Grisela Peralta, pago de estacionamiento y valet parking visita al contador Siegrist</t>
  </si>
  <si>
    <t>Sabine Pérez, pago de 48 desayunos para personal de delegación que trabajaron 4 días</t>
  </si>
  <si>
    <t>Servicio Robledo, S.A. de C.V., pago de gasolina para mesa directiva (Grisela Peralta)</t>
  </si>
  <si>
    <t>Sr.Arturo, compra de tacos y refrescos para personal delegación trabajos explanada</t>
  </si>
  <si>
    <t>Advanced Servicio CCTV y Cómputo, limpieza y reparación de caseta Estopila y Cuchilla</t>
  </si>
  <si>
    <t>Advanced Servicio CCTV y Cómputo, Reparación de pluma vehicular entrada ZB</t>
  </si>
  <si>
    <t>Asunción, pago a cuenta de la 2da. Quincena de agosto/16</t>
  </si>
  <si>
    <t xml:space="preserve">Imagen Publicitaría, compra de 1000 recibos de cobranza </t>
  </si>
  <si>
    <t>Gloria Mazzón, pago por captura de datos del 15 al 19 de agosto/16</t>
  </si>
  <si>
    <t>Office Depot de México, S.A. de .C.V. compra de boligrafos y cartuchos epson</t>
  </si>
  <si>
    <t>Constantino Cabrera, pago por poda de pasto durante 1 semana</t>
  </si>
  <si>
    <t>Electropura, S. de R.L. de C.V., compra de 9 garrafones de agua</t>
  </si>
  <si>
    <t>Administradora Auriga, S.A. de C.V. pago de gasolina Grisela peralta mesa directiva</t>
  </si>
  <si>
    <t>Cadena Comercial Oxxo, S.A. de C.V. compra de agua y refrescos mesa cobranza y vigilan</t>
  </si>
  <si>
    <t>Pedro Bazzan, ayuda para un compañero que tubo un accidente</t>
  </si>
  <si>
    <t>Camión basura, pago por llevarse pasto que corto el sr. Constantino</t>
  </si>
  <si>
    <t>Grisela Peralta, propina para mesero en evento del cuartel de bomberos</t>
  </si>
  <si>
    <t>Patrulla 007 compensación en apoyo para que no se estación en entradas los del colegio</t>
  </si>
  <si>
    <t>Gloria Mazzón, pago en apoyo doingo cobranza tarjetones</t>
  </si>
  <si>
    <t>Luis Hernández, adelanto de compra de material para techo caseta Zinampa</t>
  </si>
  <si>
    <t>Patrulla 007 compensación en apoyo durante mañana y tarde entrega circular colegio</t>
  </si>
  <si>
    <t>Grisela Peralta, compra de calculadora, 2 cortinas baño caseta Romeral y estaciónamient</t>
  </si>
  <si>
    <t>Advanced Servicio CCTV y Cómputo, a cuenta compra de boboina de cable UTP UP</t>
  </si>
  <si>
    <t>Cerrajería Gran Sur, compra de 30 llaves Tramex</t>
  </si>
  <si>
    <t>Guardias y Custodias Gama, pago  2° quincena de agosto/16</t>
  </si>
  <si>
    <t>Patrulla 007 compensación de apoyo maña para no dejar estacionarse en entradas y salid</t>
  </si>
  <si>
    <t>Tecnoplaza Electrónica, S.A. de C.V., liq. Pago bobutp-x a prueba de agua</t>
  </si>
  <si>
    <t>Electropura, S. de R.L. de C.V. compra de 9 garrafones de agua</t>
  </si>
  <si>
    <t>Entrega a Grisela Peralta cobranza del  3er domingo 21 de agosto/16</t>
  </si>
  <si>
    <t>Tecnoplaza Electrónica, S.A. de C.V., a/c de bobut-x a prueba de agua ch # 39</t>
  </si>
  <si>
    <t>Centro de Copiado y Papelerìa, 10 ampliaciones</t>
  </si>
  <si>
    <t>Centro de Copiado y Papelería, 52 copias</t>
  </si>
  <si>
    <t>Constantino Cabrera, pago por poda de pasto 4ta. Semana</t>
  </si>
  <si>
    <t>Gloria Mazzón, pago por captura de datos del 22 al 26 de Agosto/16</t>
  </si>
  <si>
    <t>Camión basura, pago por llevaste costales de recoveco de pasto</t>
  </si>
  <si>
    <t>Daniel Gama, prestamo para comida</t>
  </si>
  <si>
    <t>Manuel Gama, compra de gasolina para patrulla rondin haciendas coyoacan</t>
  </si>
  <si>
    <t>Jose Asunción, prestamos personal</t>
  </si>
  <si>
    <t>Pedro Bazzan,  pago por recolectar basura en fin de semana</t>
  </si>
  <si>
    <t>Olegario Vázquez, Pago por toda de 2 arboles que tapaban camara de Romeral</t>
  </si>
  <si>
    <t>Office Depot de México, S.A. de C.V. Compra de toner brother tn para presidencia</t>
  </si>
  <si>
    <t>CadeNa Comercial Oxxo, S.A. de C.V. compra de café apoyo de planillas botaciones</t>
  </si>
  <si>
    <t>Cadena Comercial Oxxo, S.A. de C.V. compra de jugo apoyo de planillas botaciones</t>
  </si>
  <si>
    <t>Cadena Comercial Oxxo, S.A. de C.V. compra de café y refrescos para la mesa de cobranza</t>
  </si>
  <si>
    <t>Cadena Comercial Oxxo, S.A. de C.V. compra de refrescos para mesa de cobranza</t>
  </si>
  <si>
    <t>Roberto Miranda, pago por llevarse todo el pasto podado del parque de 2 semanas</t>
  </si>
  <si>
    <t>Gloria Mazzón, pago por apoyo en cobranza domingo 28 de agosto</t>
  </si>
  <si>
    <t>Advanced Servicio CCTV y Cómputo, compra de un portafolis laptop tesorería</t>
  </si>
  <si>
    <t>Advanced Servicio CCTV y Cómputo, compra de 5 memorías USB</t>
  </si>
  <si>
    <t>Advanced Servicio CCTV y Cómputo, pago de 1 respaldo de video</t>
  </si>
  <si>
    <t>Artemio Mora Torres, pago 2° quincena de agosto/16</t>
  </si>
  <si>
    <t>Griseal Peralta Portugal pago 2° quincena de agosto/16</t>
  </si>
  <si>
    <t>Entrega a Grisela Peralta por cobranza del 4to domingo de agosto/16</t>
  </si>
  <si>
    <t>Alberto Augusto Fuentes, pago cuota de mantenimiento agosto/16 UP_46</t>
  </si>
  <si>
    <t>Deposito de cheque #28 Colegio Carmel, pago cuota-mantenimiento julio/16</t>
  </si>
  <si>
    <t>Deposito de cheque #28 Colegio Carmel, pago cuota-mantenimiento agosto/16</t>
  </si>
  <si>
    <t>Roberto Miranda pago de la segunda quincena del mes de agosto por barrer todo el fracc.</t>
  </si>
  <si>
    <t>Pedro Cortes, recolección de todo el mes de agosto de basura del fracc. de lun a vie</t>
  </si>
  <si>
    <t>SEPTIEMBRE    2016</t>
  </si>
  <si>
    <t>Saldo del mes de agosto/16</t>
  </si>
  <si>
    <t>Distribuidora Bicicletas Benotto, S.A. de C.V. compra de llantas para bicicleta de vigilancia</t>
  </si>
  <si>
    <t>Cadena Comercial Oxxo, S.A. de C.V. compra de botanas para personal parque juegos parque</t>
  </si>
  <si>
    <t>Electropura, S. de R.L. de C.V. pago de 7 garrafones de agua para casetas de vigilancia</t>
  </si>
  <si>
    <t>Panerìas La Esperanza, S.A. de C.V., compra de café junta mesa directiva finanzas</t>
  </si>
  <si>
    <t>Administradora Auriga, S.A. de C.V. gasolina para combras de adornos en todo el fraccionami</t>
  </si>
  <si>
    <t>Gloria Mazzòn, pago por captura de datos correspondiente del 29 de agosto al 02 sept/16</t>
  </si>
  <si>
    <t>Patrulla 007, compensaciòn en apoyo de platica con vecinos para aliniamento de los art. Ley</t>
  </si>
  <si>
    <t>Luis Hernàndez, pago por trabajo de techumbre en caseta de zinampa, cambio del techo</t>
  </si>
  <si>
    <t>Cadena Comercial Oxxo, S.A. de C.V. compra de agua y refrescos personal delg. Arreglo luz parq</t>
  </si>
  <si>
    <t>Ferre Electrica Dìaz, compra de 4 mt cable para arreglar luz parque</t>
  </si>
  <si>
    <t>Alberto Reyes, pago de 2 almuerzos para mesa directiva de 2 eleentos por adonar todo el fracc</t>
  </si>
  <si>
    <t>Modatelas SAPI de C.V. compra de adornos para todo el fraccionamiento del 15 de septiembre</t>
  </si>
  <si>
    <t>Modatelas SAPI de C.V. compra de bandera mexicana para el kiosco</t>
  </si>
  <si>
    <t>Papelerìa, compra de plumas de gel color azul para mesa de cobranza</t>
  </si>
  <si>
    <t>Jose Asunciòn Dominguez, pago en apoyo por adornasr todo el kiosco</t>
  </si>
  <si>
    <t>Constantino Cabrera, pago de 1 semana por poda de pasto parque fraccionamliento</t>
  </si>
  <si>
    <t>Cadena Comercial Oxxo, S.A. de C.V. compra de café y refrescos para mesa de cobranza domin</t>
  </si>
  <si>
    <t>Pedro Bazzan, pago por recolecciòn de basura fin de semana</t>
  </si>
  <si>
    <t>Pedro Bazzan, pago por llevarse 6 costales de pasto del parque podado por Constantino Cabrera</t>
  </si>
  <si>
    <t>Cadena Comercial Oxxo, S.A. de C.V. compra de agua y refrescos personal de votaciones kiosco</t>
  </si>
  <si>
    <t>Advanced Servicio CCTV y Còmputo, compra eliminador para plato lector de plumas</t>
  </si>
  <si>
    <t>Advanced Servicio CCTV y Còmputo, pago por reparaciòn de alimentaciòn de voltaje de plato</t>
  </si>
  <si>
    <t>Advanced Servicio CCTV y Còmputo, pago de 2 respaldos en 2 circuitos para varios eventos frac</t>
  </si>
  <si>
    <t>Electropura, S. de R.L. de C.V. pago de 10 garrafones de agua</t>
  </si>
  <si>
    <t>Cremerìa, compra de tortas para personal de votaciones en kiosco domingo</t>
  </si>
  <si>
    <t>Entrega a Grisela Peralta de la cobranza domingo 04 de septiembre/16 primer domingo</t>
  </si>
  <si>
    <t>Centro de copiado y papelerìa, pago de 80 copias</t>
  </si>
  <si>
    <t>Sabina Pèrez, pago de 5 comidas para trabajadores de investigaciòn asalto en upacuaro 118</t>
  </si>
  <si>
    <t>Luis Hernàndez, pago por reparaciòn y diagnostico de alteraciòn de chapa de RV, EP y ZB</t>
  </si>
  <si>
    <t>Advanced Servicio CCTV y Cómputo, pago de videos diferentes, trabajo de 24 hrs robo UP118</t>
  </si>
  <si>
    <t>Luis Hernández, pago de alelanto de reparación de puerta de kioco de marco y puerta herrería</t>
  </si>
  <si>
    <t>Advanced Servicio CCTV y Cómputo, pago de video de EP cuando entra la señora aseo UP118</t>
  </si>
  <si>
    <t>Cremería, compra de 6 tortas para trabajadores del parque de juegos ejercitadores</t>
  </si>
  <si>
    <t>Gloria Mazzòn, pago por captura de datos correspondiente del 05 al 09 de  sept/16</t>
  </si>
  <si>
    <t>Office Depot de México, S.A. de C.V. pago de copias informe para todo el fraccionamiento</t>
  </si>
  <si>
    <t>Tiendas Chedraui, S.A. de C.V., compra de material de limpieza para casetas del fraccionamien</t>
  </si>
  <si>
    <t>Tiendas Chedraui, S.A. de C.V., compra de papelería presidencia</t>
  </si>
  <si>
    <t>Luis Hernandez, pago de repración y diagnostico de chapa ZB y compra de material para repara</t>
  </si>
  <si>
    <t>Grisela Peralta, pago a jovenes para doblar y entregar cicular urgente en todo el fraccionamien</t>
  </si>
  <si>
    <t>Advanced Servicio CCTV y Cómputo, respaldo de video en pluma</t>
  </si>
  <si>
    <t>Advanced Servicio CCTV y Cómputo, mano de obra en instalación de camara cuchilla y romeral</t>
  </si>
  <si>
    <t>Advanced Servicio CCTV y Cómputo, compra de disco duro 500 GB para DVR ubicado romeral</t>
  </si>
  <si>
    <t>Cadena Comercial Oxxo, S.A. de C.V. compra de café para mesa de cobranza domingo</t>
  </si>
  <si>
    <t>Cadena Comercial Oxxo, S.A. de C.V. compra de vasos desechables</t>
  </si>
  <si>
    <t>Roberto Gama, pago por enterrar y pintar tronco del parque junto a zinampa</t>
  </si>
  <si>
    <t>Electropura, S. de R.L. de C.V. pago de 9 garrafones de agua</t>
  </si>
  <si>
    <t>Patrulla 007, compensación en apoyo para reporte de circulas código civil sobre mascotas</t>
  </si>
  <si>
    <t>Patrulla 007, compensación en apoyo para reporte de ciucular código civil sobre mascotas</t>
  </si>
  <si>
    <t>Entrega a Grisela Peralta cobranza 2do. Domingo de septiembre/16</t>
  </si>
  <si>
    <t>Telefonos de México SAB de C.V., pago del mes de agosto</t>
  </si>
  <si>
    <t>Luis Hernández, pago por terminar reparación puerta de kiosco</t>
  </si>
  <si>
    <t>Ferre Electrica Díaz,compra de material para reparación puerta kiosco</t>
  </si>
  <si>
    <t>Jose Huertado, electricista que instalo luz interna en el kiosco</t>
  </si>
  <si>
    <t>Patrulla 007, compensación en apoyo de campaña sobre código civil sobre mascotas</t>
  </si>
  <si>
    <t>Dulcería, compra de bolsas para campaña civica de mascotas</t>
  </si>
  <si>
    <t>Vecina, compra de galletas para junta en parque de campaña civica de mascotas</t>
  </si>
  <si>
    <t>Cadena Comercial Oxxo, S.A. de C.V. compra de agua y refrescos junta en parque mascotas</t>
  </si>
  <si>
    <t>Daniel Gama, pago por cuidar trabajadores de herrería en el kiosco y cargando materiales</t>
  </si>
  <si>
    <t>Luis Hernández, pago por arreglar chapa zinampa y material para bajada de agua en caseta</t>
  </si>
  <si>
    <t>Advanced Servicio CCTV y Cómputo, pago por calibración de pluma de zinampa</t>
  </si>
  <si>
    <t>Office Depot de México, S.A. de C.V., pago de copias comunicado fraccionamiento sobre puerta</t>
  </si>
  <si>
    <t>Advanced Servicio CCTV y Cómputo, insgtalación y diferencia de disco duro para cuchilla</t>
  </si>
  <si>
    <t>Roberto Miranda, pago 1er quincena por barrer todo el fraccionamiento entre semana</t>
  </si>
  <si>
    <t>Roberto Miranda, pago por recolección del pasto que se podo durante 2 semanas</t>
  </si>
  <si>
    <t>Grisela Peralta, pago a jovenes por repartir circulares a todo el fraccionamiento</t>
  </si>
  <si>
    <t>Grisela Peralta, compra de cena para trabajadores del 15 de septiembre/16</t>
  </si>
  <si>
    <t>Servicio Robledo S.A. de C.V. gasolina para hacer varias compras para el fraccionamiento</t>
  </si>
  <si>
    <t>Guardias y Custodías Gama, pago de la 1er quincena de septiembre</t>
  </si>
  <si>
    <t>Artemio Mora, pago de vigilancia de la 1er semana de septiembre/16</t>
  </si>
  <si>
    <t>Griseal Peralta Portugal pago 1er quincena/16</t>
  </si>
  <si>
    <t>Gloria Mazzón, pago por captura de datos del 12 al 16 de septiembre/16</t>
  </si>
  <si>
    <t>Constantino Cabrera, pago por poda de pasto del fraccionamiento</t>
  </si>
  <si>
    <t>Pedro Bazzan, pago por recoleción de basura fin de semana</t>
  </si>
  <si>
    <t>Advanced Servicio CCTV y Còmputo, pago de 30 tarjetas acord cheque # 43</t>
  </si>
  <si>
    <t>Advanced Servicio CCTV y Còmputo, pago 2 tranceptores y conectores de tendidos #41</t>
  </si>
  <si>
    <t>Gloria Mazzòn, pago por concepto de cobranza domingo 18 de septiembre/16</t>
  </si>
  <si>
    <t>Tienda, compra de café y galletas en la visita al contador siegris mesa directiva</t>
  </si>
  <si>
    <t>Administradora Auriga, S.A. de C.V., compra de gasolina Grisela Peralta visita contador Siegrist</t>
  </si>
  <si>
    <t>Electropura, S. de R.L. de C.V. compra de 11 garrafones de agua</t>
  </si>
  <si>
    <t>Centro de Copiado del Sur, pago de copias</t>
  </si>
  <si>
    <t>Centro de Copiado y Papelerìa, pago de 450 copias tamaño carta</t>
  </si>
  <si>
    <t>Camiòn de Basura, pago por recolecciòn de basura (escombros) Recoveco</t>
  </si>
  <si>
    <t>SAT Servicio de Administración Tributaria, pago de mes de septiembre/16 CH. # 45</t>
  </si>
  <si>
    <t>Siegrist Contadores Publicos, pago de honorarios del mes septiembre/16 CH. #44</t>
  </si>
  <si>
    <t>Advanced Servicio CCTV y Còmputo, pago de tendito de 1 camara con transeptores y un DVR</t>
  </si>
  <si>
    <t>Motosierra y Equipo, compra de dezmalezadora Stihl, para poda de pasto parque cheque #48</t>
  </si>
  <si>
    <t>Marìa Teresa Del Pozo, pago por fumigaciòn del parque del fraccionamiento</t>
  </si>
  <si>
    <t>Gustavo Gil, pago por reparar 2 luminarìas, 1 reconecciòn y 1 fotocelda</t>
  </si>
  <si>
    <t>Constantino Cabrera, compra gasolina y herramientas para la poda del parque</t>
  </si>
  <si>
    <t>Tienda, compra de refrescos para personal de arreglos del alumbrado</t>
  </si>
  <si>
    <t>Entrega a Grisela Peralta cobranza 3er domingo de septiembre 18/19/16</t>
  </si>
  <si>
    <t>Personal de Gama, compra de tornillos para bicicleta de rondines del fraccionamiento</t>
  </si>
  <si>
    <t>Manuel Gamma, quitar todos los poster y anuncios fuera de la colonia</t>
  </si>
  <si>
    <t>Constantino Cabrera, poda de pasto toda la semana</t>
  </si>
  <si>
    <t>Comercializadora Caspin, S.A. de C.V. compra brocha y rodillo para pintar casetas</t>
  </si>
  <si>
    <t>Pedro Bazzan, recolección de basura en fin de semana</t>
  </si>
  <si>
    <t>Daniel grupo Gama, pago por pintar puerta del kiosco por dentro y por fuera</t>
  </si>
  <si>
    <t>Daniel grupo Gama, por impearbilizar techo caseta Zinampa</t>
  </si>
  <si>
    <t>Patrulla  007 compensación por quitar camión con WC en Landero y Hueso (tianguis)</t>
  </si>
  <si>
    <t>Pedro Bazzan, pago por recolección de pasto en el parque podado por Constantio</t>
  </si>
  <si>
    <t>Electropura, S. de R.L. de C.V., pago por 9 garrafones de agua</t>
  </si>
  <si>
    <t>Gloria Mazzón, pago por concepto de apoyo en cobranza del domingo 25 de septiembre/16</t>
  </si>
  <si>
    <t>Comercializadora Caspin, S.A. de C.V. compra de brocha, escola y rodillo para pintar techos cas</t>
  </si>
  <si>
    <t>Servicio Robledo, S.A. de C.V. gasolina Mesa Directiva compras varias</t>
  </si>
  <si>
    <t>Advanced Servicio CCTV y Cómputo, pago 1 respaldo de video Cuchilla 61</t>
  </si>
  <si>
    <t>Patrulla 007 compensacion por visita a vecenos en cuestión de limpieza por mascotas</t>
  </si>
  <si>
    <t>Advanced Servicio CCTV y Cómputo, pago por configuración de 13 tarjetas pocard</t>
  </si>
  <si>
    <t>Entrega a Grisela Peralta cobranza del 4to domigo de septiembre</t>
  </si>
  <si>
    <t>Constantino Cabrera, pago por poda de pasto toda la semana</t>
  </si>
  <si>
    <t>Roberto Miranda, pago 2da. Quincena del mes por barrer todda la colonia</t>
  </si>
  <si>
    <t>Roberto Miranda, pago por recolectar pasto del parque durante la segunda quincena</t>
  </si>
  <si>
    <t>Electropura, S. de R.L. de C.V. pago de 6 garrafones</t>
  </si>
  <si>
    <t>Gloria Mazzón, pago por captura de datos del 26 al 30 de septiembre/16</t>
  </si>
  <si>
    <t>Manuel Gamma, pago por pintar las tres casetas del fraccionamiento</t>
  </si>
  <si>
    <t>Pedro Bazzan, recolección de basura toda la colonia</t>
  </si>
  <si>
    <t>Asunción Gamma, pago por arreglar chapa Estopila y lijar chapa de Cuchilla compra material</t>
  </si>
  <si>
    <t>The Home Depot, compra de thinner, escoba y lima para arreglar chapas de puertas</t>
  </si>
  <si>
    <t>Guardias y Custodías Gama, pago de la 2da quincena de septiembre</t>
  </si>
  <si>
    <t>Griseal Peralta Portugal pago 2da quincena/16</t>
  </si>
  <si>
    <t>Transferencia bancara Upacuaro # 46 pago mes de septiembre</t>
  </si>
  <si>
    <t>Deposito de cheque #94 Colegio Carmel, pago cuota-mantenimiento septiembre/16</t>
  </si>
  <si>
    <t>Banorte com. Che. Exped.</t>
  </si>
  <si>
    <t>Banorte I.V.A. com. Cheq. exped.</t>
  </si>
  <si>
    <t>OCTUBRE    2016</t>
  </si>
  <si>
    <t>Tlapalerìa y Ferreterìa El Hueso, compra de mastique para ventanas de las casetas</t>
  </si>
  <si>
    <t>Cadena Comercial Oxxo, S.A. de C.V. compra de café para mesa de cobranza domingos</t>
  </si>
  <si>
    <t>Pedro Bazza, pago por recolecciòn de basura fin de semana</t>
  </si>
  <si>
    <t>Gloria Mazzòn, pago en apoyo cobranza domingo 02 de octubre/16</t>
  </si>
  <si>
    <t>Telefonos de Mèxico SAB, de C.V. pago del mes de septiembre</t>
  </si>
  <si>
    <t>Entrega a Grisela Peralta, cobranza de la 1er semana de octubre</t>
  </si>
  <si>
    <t>Nueva Walmart de Mèxico, S. de R.L. de C.V. compra de materiales de limpieza para casetas</t>
  </si>
  <si>
    <t>Estacionamiento, compras de limpieza y adornos</t>
  </si>
  <si>
    <t>Estacionamiento Cuemanco, compras varias</t>
  </si>
  <si>
    <t>Nueva Walart de Mèxico, S de R.L de C.V. compra de carpeta para presidencia</t>
  </si>
  <si>
    <t>Advanced Servicio CCTV Còmputo, pago de reparaciòn de pluma ajuste de subir y bajar</t>
  </si>
  <si>
    <t>Asunciòn Gama, compra de material de limpieza para casetas</t>
  </si>
  <si>
    <t>Camìòn basura, recolecciòn de escombros, pasto podado de Recoveco y Estopila</t>
  </si>
  <si>
    <t>Manuel Flores, pago de comida para 6 personas de explanada</t>
  </si>
  <si>
    <t>Gloria Mazzòn, pago por captura de datos del 03 al 07 de octubre</t>
  </si>
  <si>
    <t>Roberto, pago por pintar caseta Zinampa</t>
  </si>
  <si>
    <t>Starbucks Coffe Coapa, compra de café para mesa de cobranza domingo</t>
  </si>
  <si>
    <t>Pedro Bazza, pago por recolecciòn de pasto podado durante toda la semana que es mucho</t>
  </si>
  <si>
    <t xml:space="preserve">Roberto Miranda, pago levantar pasto y llevarselo que fue podado durante la semana </t>
  </si>
  <si>
    <t>Electropura, S. de R.L. de C.V., compra de 10 garrafones de agua</t>
  </si>
  <si>
    <t>Office Depot de Mèxico, SA de C.V. comra de toner para impresora de presedencia</t>
  </si>
  <si>
    <t>Estacionamiento Cuemanco, compra de toner</t>
  </si>
  <si>
    <t>Camiòn de basura, pago por llevarse destajo de pieda y pasto sobrante del parque</t>
  </si>
  <si>
    <t>Servicio Robledo, S.A. de C.V., pago de gasolina Grisela Peralta para compras varias</t>
  </si>
  <si>
    <t>Gloria Mazzòn, pago en apoyo cobranza domingo 09 de octubre/16</t>
  </si>
  <si>
    <t>Entrega a Grisela Peralta, cobranza del 2do. Domingo de octubre/16</t>
  </si>
  <si>
    <t>Manuel Olivares, para comprar tornillos y base para ponerla de repiza</t>
  </si>
  <si>
    <t>Grisela Peralta, compra de bolsas para parque desechos de animales</t>
  </si>
  <si>
    <t>Centro de Copiado y Papelerìa, compra de tabla para vigilancia</t>
  </si>
  <si>
    <t>Manuel Olivares, pago por repraraciòn de gabinetes y poner repiza en caseta Romeral</t>
  </si>
  <si>
    <t>Grisela Peralta, pago a jovenes para repartir informe a todo el fraccionamiento</t>
  </si>
  <si>
    <t>Centro de Copiado y Papelerìa, pago de 2,250 del informe que se entrego al fraccionamiento</t>
  </si>
  <si>
    <t>Arturo Carrillo, tacos para vigilancia</t>
  </si>
  <si>
    <t>Grisela Peralta, compra de material de limpieza para casetas</t>
  </si>
  <si>
    <t>Gloria Mazzòn, pago por captura de datos del 10 al 14 de octubre/16</t>
  </si>
  <si>
    <t>Constantino Cabrera, pago por poda de pasto en parque del 11 al 15 de octubre/16</t>
  </si>
  <si>
    <t>Guardìas y Custodìas Gama, pago de vigilancia 1er quincena en efectivo</t>
  </si>
  <si>
    <t>Grisela Peralta, pago de la primer quincena de octubre</t>
  </si>
  <si>
    <t>Pedro Bazzan, pago por recolecciòn de basura en fin de semana</t>
  </si>
  <si>
    <t>Entrega a Grisela Peralta de cobranza del 3er  domingo 16 de Octubre</t>
  </si>
  <si>
    <t>Electropura, S. de R.L. de C.V. compra de 10 garrafones para acasetas de vigilancia</t>
  </si>
  <si>
    <t>Gloria Mazzòn, pago en apoyo a la combranza del 3er domingo de octubre</t>
  </si>
  <si>
    <t>Servicio El Hueso, S.A. de C.V. pago gasolina Grisela Peralta visita al colntado Siegrist</t>
  </si>
  <si>
    <t>Fruterìa Marthita, compra de una canasta de fruta para miembro de la mesa directiva</t>
  </si>
  <si>
    <t>Camiòn de basura, pago por acarrear troncos del parque</t>
  </si>
  <si>
    <t>Asunciòn Gama, compra de un tensor para Landero #39 para sujetar camara</t>
  </si>
  <si>
    <t>Sabina Pèrez, Pago por comida para personal delegaciòn de arreglos de la explanada</t>
  </si>
  <si>
    <t>Ferre-Electrica Dìaz, compra de 1 hoja de lija para trabajos en chapas del fraccionamiento</t>
  </si>
  <si>
    <t>Panerìas La Esperanza, S.A. de C.V. compra de almerzo evento anual grupo pastoral</t>
  </si>
  <si>
    <t>Sabina Pèrez, pago de 4 almuerzos trabajadores en bancos verdes de la explanada del parque</t>
  </si>
  <si>
    <t>Estacionamiento, pago estacionamiento visita al contador siegrist</t>
  </si>
  <si>
    <t>Asunciòn Gama, reparaciòn de bisicleta, quedo inconcluso</t>
  </si>
  <si>
    <t>Cadena Comercial Oxxo, S.A. de C.V. compra de refrescos para junta de mesa Directiva</t>
  </si>
  <si>
    <t>Sabine Pèrez, pago de 7 almuerzos para persoanal delegaciòn arreglos en explanada</t>
  </si>
  <si>
    <t>Benotto, compra de refacciones para bicicleta de vigilancia</t>
  </si>
  <si>
    <t xml:space="preserve">Mercado Miramontes, compra de adornos para casetas dìa DE MUERTOS, </t>
  </si>
  <si>
    <t>Gloria Mazzòn, pago por captura de datos del 17 al 21 de octubre/16</t>
  </si>
  <si>
    <t>Estaconamiento Cuemanco, compras varias del fraccionamiento</t>
  </si>
  <si>
    <t>Constantino Cabrera, pago por poda de pasto</t>
  </si>
  <si>
    <t>Roberto Mendoza, pago por recolecciòn de pasto</t>
  </si>
  <si>
    <t>Grisela Peralta, copra de adornos para el kiosco del dìa de muertos</t>
  </si>
  <si>
    <t>Siegrist Contadores Publicos, pago de honorarios del mes octubre/16 CH. #53</t>
  </si>
  <si>
    <t>SAT Servicio de Administración Tributaria, pago de mes de octubre/16 CH. # 54</t>
  </si>
  <si>
    <t>Sra. Rebeca, pago por limpiar el kiosco sabado y barrio el domingo</t>
  </si>
  <si>
    <t>Roberto Miranda, pago a/c de comprar escobra y material de limpieza</t>
  </si>
  <si>
    <t>Nueva Walmart de Mèxico, S. de R.L. de C.V. compra de papel china</t>
  </si>
  <si>
    <t>Estacionamiento Cuemanco, pago de estacionamiento compra de papel china</t>
  </si>
  <si>
    <t>Office Depot de Mèxico, S.A. de C.V. compra de cinta corte facil</t>
  </si>
  <si>
    <t>Office Depot de Mèxico, S.A. de C.V. compra papelerìa, presidencia</t>
  </si>
  <si>
    <t>Jose Asunciòn Dominguez, pago de varios trabajso dentro del fraccionamiento</t>
  </si>
  <si>
    <t>Patrulla 007, compensaciòn en rondines en parque por la noche por no haber luz dia 22</t>
  </si>
  <si>
    <t>Patrulla 007, compensaciòn en rondines en parque por la noche por no haber luz dìa 23</t>
  </si>
  <si>
    <t>Gloria Mazzòn, pago en apoyo de combranza del domigo 23 de octubre</t>
  </si>
  <si>
    <t>Entrega a Grisela Peralta de cobranza del 4to domingo de octubre/16</t>
  </si>
  <si>
    <t>Pedro Bazzan, pago por recolecciòn de basura en todo el fracc. toda la semana 1er quincena</t>
  </si>
  <si>
    <t>Cadena Comercial Oxxo, S.A. de C.V. comppra de cafes y refrescos para mesa de cobranza y vig.</t>
  </si>
  <si>
    <t>Luis Hernàndez, pago arreglo de techo de cuarto Lokkers de vigilancia ZB 2da. Parte y kiosco</t>
  </si>
  <si>
    <t>Cadena Comercial Oxxo, S.A. de .C.V. compra de refrescos personal que coloco carpa parque</t>
  </si>
  <si>
    <t xml:space="preserve">Panerìas La Esperanza, S.A. de C.V. compra de bocadillos para personal que ayudo a poner la </t>
  </si>
  <si>
    <t>Patrulla 007 compensacion por visiar a vecino que obstruye la calle y no deja pasar camiòn bas</t>
  </si>
  <si>
    <t>Cadena Comercial Oxxo, S.A. de C.V., compra de refrescos para vigilancia en apoyo de quitar ta</t>
  </si>
  <si>
    <t>Nueva Walmart de Mèxico, S. de R.L. de C.V. compra de adornos  quiosco del dìa de muerto</t>
  </si>
  <si>
    <t>Tiendas Chedraui, S.A. de C.V., compra de aerosol para pintar botellas p/parque con bolsas des</t>
  </si>
  <si>
    <t>Grisela Peralta, pago a jovenes por doblar todos los imformes que se entregaron al fracc</t>
  </si>
  <si>
    <t>Estacionamientos Operativos Mexicanos, visita a la delegaciòn tramite del kiosko y sus activi</t>
  </si>
  <si>
    <t>Jony Pizza, pago de pizza y refrescos para vigilantes de caseta ZB por su buen desempeño</t>
  </si>
  <si>
    <t>Jony Pizza, Pago de pizza y refrescos para vigilantes de caseta RM por su buen desempeño</t>
  </si>
  <si>
    <t>Roberto Miranda, pago por barrer todo el fracc. de lunes a viernes 1er quincena octubre</t>
  </si>
  <si>
    <t>Waldo's Dólar Mart de Mèxico, S. de R.L. de C.V. compra de adornos para fracci</t>
  </si>
  <si>
    <t>Camiòn de basura, pago por recolecciòn de pasto que se poda del parque del fracc.</t>
  </si>
  <si>
    <t>Sabina Pèrez, pago por guisados para ofrenda que se puso en kiosco del parque</t>
  </si>
  <si>
    <t>Centro de Copiado y Papelerìa, pago de 450 copias informe dìa muerto y 1 DVD</t>
  </si>
  <si>
    <t>Cuadrilla delegaciòn, compra de refrescos en apoyo reparaciòn cbles colgados calz del hueso</t>
  </si>
  <si>
    <t>Grisela Peralta, pago a chicos por pegar poster y quitar posters anteriores todo el fraccionami</t>
  </si>
  <si>
    <t>Papelerìa, diseño y doblado de hojas de circular informaciòn fraccionamiento dìa de muertos</t>
  </si>
  <si>
    <t>Cuadrilla luminarìas, compensaciòn en apoyo a evaluar problemática de luz en el fraccionami</t>
  </si>
  <si>
    <t>Pastelerìa Bodon, S.A. de C.V. compra de dulces para evento en el kiosco dìa de muertos niños</t>
  </si>
  <si>
    <t>Tienda, compra de bolsas para posters informaciòn al fraccionamiento</t>
  </si>
  <si>
    <t>Galerìas Coapa, estacionamiento compras varias</t>
  </si>
  <si>
    <t>Centro de Copiado y Papelerìa, pago de copias para informaciòn al fraccionamiento</t>
  </si>
  <si>
    <t>Centro de Copiado y Papelerìa, compra de UHU para pegar goma de plumas de acceso</t>
  </si>
  <si>
    <t>Tradiciòn en Pastelerìas, S.A. de C.V. junta de mesa directiva</t>
  </si>
  <si>
    <t>Nueva Walmart de Mèxico, S. de R.L. de C.V. compra de 200 pan de muerto para evento</t>
  </si>
  <si>
    <t>Waldo's Dólar Mart de Mèxico, S. de R.L. de C.V. compra de adornos para fracc dìa de muertos</t>
  </si>
  <si>
    <t>Tiendas Chedraui, S.A. de C.V., compra de adornos para kioscio dìa de muertos</t>
  </si>
  <si>
    <t xml:space="preserve">Osvaldo, pago en apoyo de recolecciòn de pasto </t>
  </si>
  <si>
    <t>Gloria Mazzòn Soto, pago por captura de datos del 24 al 28 de octubre/16</t>
  </si>
  <si>
    <t>Olegarìo, poda de pasto en banquetas de Romeral</t>
  </si>
  <si>
    <t>Constantino Cabrera, pago por poda de pasto en parque del 25 al 29 de octubre/16</t>
  </si>
  <si>
    <t>Cadena Comercial Oxxo, S.A. de C.V., compra de 1 garrafon de agua para caseta</t>
  </si>
  <si>
    <t>Cadena Comercial Oxxo, S.A. de C.V., compra de refrescos para mesa de cobranza y vigilancia</t>
  </si>
  <si>
    <t xml:space="preserve">Cadena Comercial Oxxo, S.A. de C.V., compra de cena para mesa directiva y vigilancia </t>
  </si>
  <si>
    <t>Daniel Gama, pago en apoyo colocaciòn de ofrenda domingo, trabajo extra</t>
  </si>
  <si>
    <t>Roberto Arambula, pago por barrer toda la explanada y kiosco y llevar caminoeta con equipo</t>
  </si>
  <si>
    <t>Pedro Bazzan, por recolecciòn de basura en todo el fracc. De lunes a viernes de la 2da quincena</t>
  </si>
  <si>
    <t>Roberto Miranda, pago por barrer todo el fracc. de lunes a viernes 2er quincena octubre</t>
  </si>
  <si>
    <t>Nueva Walmart de Mèxico, S. de R.L. de C.V. compra de pan de muerto para ofrenda kiosco</t>
  </si>
  <si>
    <t>Nueva Walmart de Mèxico, S. de R.L. de C.V., compra de adornos para explanada y kiosco</t>
  </si>
  <si>
    <t>Guardìas y Custodìas Gama, pago de vigilancia 2da quincena en efectivo</t>
  </si>
  <si>
    <t>Entrega a Grisela Peralta cobranza 5to. Domingo de octubre/16</t>
  </si>
  <si>
    <t>Grisela Peralta, pago de la segunda  quincena de octubre/16</t>
  </si>
  <si>
    <t>Transferencia bancara Upacuaro # 46 pago mes de octubre/16</t>
  </si>
  <si>
    <t>Banorte, com. Chq. Exped.</t>
  </si>
  <si>
    <t>Deposito de cheque #209 Colegio Carmel, pago cuota-mantenimiento octubre/16</t>
  </si>
  <si>
    <t>Saldo del mes de septiembre/16</t>
  </si>
  <si>
    <t>Banorte, I.V.A.. com. Chq. Eped.</t>
  </si>
  <si>
    <t xml:space="preserve">Cheque devuelto </t>
  </si>
  <si>
    <t>SAT Servicio de Administración Tributaria, pago mes de enero/16</t>
  </si>
  <si>
    <t>SE QUEDO CAJA CON ESTA CANTIADAD</t>
  </si>
  <si>
    <t>SE ABRIO CUENTA CON ESTA CANTIDAD</t>
  </si>
  <si>
    <t>FEBRERO    2016</t>
  </si>
  <si>
    <t>Apertura cuenta del fraccionamieto</t>
  </si>
  <si>
    <t>Remanente identificador</t>
  </si>
  <si>
    <t>Deposito cheque fam Cooper CL_73 Pago anualidad</t>
  </si>
  <si>
    <t>Transferancia Fam Vega Sánchez CL_29 pago feb/16 $ 400.29</t>
  </si>
  <si>
    <t>Deposito de cheque Colegio Carmel pago mes de enero/16</t>
  </si>
  <si>
    <t>Entrega a Baldemar Sala cheque para deposito por cobranza 3er domin LD_25</t>
  </si>
  <si>
    <t>che</t>
  </si>
  <si>
    <t>Entrega a Baldemar Sala cheque para deposito cobranza 2da semana</t>
  </si>
  <si>
    <t>Saldo del mes de octubre/16</t>
  </si>
  <si>
    <t>Saldo del mes de noviembre/16</t>
  </si>
  <si>
    <t>DICIEMBRE    2016</t>
  </si>
  <si>
    <t>NOVIEMBRE    2016</t>
  </si>
  <si>
    <t>Guardìas y Custodìas Gama, pago de vigilancia 2da quincena en cheque</t>
  </si>
  <si>
    <t>Israel Galan Quiintin, compra de 30 llaves para puertas de acceso peatonal</t>
  </si>
  <si>
    <t>Camión de basura, pago por recolección de pasto y tambiem bolas con escombros</t>
  </si>
  <si>
    <t>Servicio El Escudo S.A. de C.V. gasolina para Grisela Peralta compras varias</t>
  </si>
  <si>
    <t>Personal de Gama, pago por varios trabajos en el fraccionamiento</t>
  </si>
  <si>
    <t>Patrulla 007 pago por tatrullaje de 3 días en zona sin luz del parque</t>
  </si>
  <si>
    <t>Gloria Mazzón, pago por captura de datos del 31 de oct. Al 04 de noviembre</t>
  </si>
  <si>
    <t>Advanced Servicio CCTV y Cómputo, pago mano de obra en repración de pluma</t>
  </si>
  <si>
    <t>Personal delegación compra de cable de 8 mmmetros para iluinación en parque</t>
  </si>
  <si>
    <t>CFE, compra de refrescos por recuperación de lineas en el parque</t>
  </si>
  <si>
    <t>CFE, compra de tarjeta de Non-Break regulador caseta Recoveco</t>
  </si>
  <si>
    <t>Advanced Servicio CCTV y Cómputo, compra de tornillería para pluma</t>
  </si>
  <si>
    <t>Personal Delegación, compensación en apoyo trabajos reparación de Luz en Zinampa</t>
  </si>
  <si>
    <t>Advanced Servicio CCTV y Cómputo, compra de slot led para tira de leds de pluma salida</t>
  </si>
  <si>
    <t>Constantino Cabrera, pago por poda de pasto en parque</t>
  </si>
  <si>
    <t>Pedro Bazzan, pago por recolección de basura en fin de semana</t>
  </si>
  <si>
    <t>Gloria Mazzón, pago en apoyo cobranza domingo 06 de noviembre</t>
  </si>
  <si>
    <t>Entrega a Grisela Peralta cobranza del 1er domingo de noviembre</t>
  </si>
  <si>
    <t>Servico Aleman, gasolina para grisela peralta asunto de fotografias mesa directiva y C.V</t>
  </si>
  <si>
    <t>Olegario Vázquez, pago por podar el pasto en 2 casetas</t>
  </si>
  <si>
    <t>Telefonos de México, SAB, de C.V., pago el mes de octubre</t>
  </si>
  <si>
    <t>Dogo del Moral, S.A. de C.V. compra de material de limpieza para las dos casetas</t>
  </si>
  <si>
    <t>Estacionamiento Cueanco, compra de material de limpieza</t>
  </si>
  <si>
    <t>Office Depot de México, S.A. de C.V., compra de papelería para Tesorería</t>
  </si>
  <si>
    <t>Constantino Cabrera, compra de material para poda del parque</t>
  </si>
  <si>
    <t>Roberto Miranda, pago por recolección pasto</t>
  </si>
  <si>
    <t xml:space="preserve">Advanced Servicio CCTV y Cómputo, mano de obra para camara reconección de tendiio </t>
  </si>
  <si>
    <t>Advanced Servicio CCTV y Cómputo, por concepto de repración No-Break caseta Recoveco</t>
  </si>
  <si>
    <t xml:space="preserve">Advanced Servicio CCTV y Cómputo, compra de materia para camaras Balum, conectores </t>
  </si>
  <si>
    <t>Advanced Servicio CCTV y Cómputo, mano de obra a 3 camaras y cambio de transeptores y elim</t>
  </si>
  <si>
    <t>Nueva Walmart de México, S de R.L. de C.V. compra de te Laggs para casetas</t>
  </si>
  <si>
    <t>Gloria Mazzón, pago por captura de datos del 05 al 09 de noviembre/16</t>
  </si>
  <si>
    <t>Constantino Cabrera pago por poda de pasto 2da. Semana de noviembre</t>
  </si>
  <si>
    <t>Pedro Bazzan, pago por recolección de pasto podado mastes pasado</t>
  </si>
  <si>
    <t>Roberto Miranda, pago por barrer y recolectar basura de lunes a viernes 1er quincena nov.</t>
  </si>
  <si>
    <t>Pedro Bazza, pago  por recolección de basura en todo el fraccionaminto lunes a vieres 1er quin</t>
  </si>
  <si>
    <t>Siegrist Contadores Publicos, pago de honorarios del mes noviembre/16 CH. #57</t>
  </si>
  <si>
    <t>SAT Servicio de Administración Tributaria, pago de mes de noviembre/16 CH. # 58</t>
  </si>
  <si>
    <t>Grisela Peralta, pago de la primer  quincena de noviembre/16</t>
  </si>
  <si>
    <t>Guardìas y Custodìas Gama, pago de vigilancia 1er quincena en cheque # 51</t>
  </si>
  <si>
    <t>Plaza Cuicuilco, estacionamiento junta con vecinas y mesa directiva</t>
  </si>
  <si>
    <t>Benotto, pago por presupuesto para bicicletas del fraccionamiento</t>
  </si>
  <si>
    <t>Paco Bicis, servicio total a bicicleta del fraccionamiento para dondines</t>
  </si>
  <si>
    <t>Cadena Comercial Oxxo, S.A. de C.V., compra de para mesa de cobranza</t>
  </si>
  <si>
    <t>Entrega a Grisela Peralta cobranza del 2do domingo del noviembre</t>
  </si>
  <si>
    <t>Luis Hernández, pago por arreglar chapa con llave atorada de estanzuela</t>
  </si>
  <si>
    <t>Servicio Robledo, S.A. de C.V., gasolina para Grisela Peralta</t>
  </si>
  <si>
    <t>Patrulla 007 compensación en patrullaje, sacaron a borrachos que estaban en el fraccionami</t>
  </si>
  <si>
    <t>Patrulla 007 compensación en patrullaje, en sabado el paque sin luz</t>
  </si>
  <si>
    <t>Patrulla 007 compensaciòn por rondines y platicas a vecinos con perros que dejan deshechos</t>
  </si>
  <si>
    <t>Estacionamiento, visita a contador Siegrist</t>
  </si>
  <si>
    <t>Advanced Servicio CCTV y Còmputo, pago por configuraciòn de 15 tarjetas procord</t>
  </si>
  <si>
    <t>Guardias y Custodìas Gama, pago liq. Vigilancia 1er quincena en efectivo</t>
  </si>
  <si>
    <t>Guardìas y Custodìas Gama, pago ac /de vigilancia 1er quincena en efectivo</t>
  </si>
  <si>
    <t>Advanced Servicio CCTV y Còmputo, pago extenciòn cable para computadora</t>
  </si>
  <si>
    <t xml:space="preserve">Electropura, s. de R.L. de C.V., compra de 9 garrafones </t>
  </si>
  <si>
    <t>Camiòn de basura, recolecciòn de pasto podado</t>
  </si>
  <si>
    <t>Personal Delegaciòn, compensaciòn a trabajadores de luminarias arreglo de luz parque</t>
  </si>
  <si>
    <t>Patrulla 007, compensaciòn por patrullaje mientras no habia luz en el parque</t>
  </si>
  <si>
    <t>Eduardo Chavez, pago por colocaciòn de tierra fisica en kiosco</t>
  </si>
  <si>
    <t>Asunciòn, compra de refrescos en compensaciòn de arreglos de bicicletas</t>
  </si>
  <si>
    <t>Asunciòn, compra de brocha para pintar pared blanca de Romeral</t>
  </si>
  <si>
    <t>Luis Hernàndez, pago por desarmar completamente chapa de Recoveco</t>
  </si>
  <si>
    <t>Gloria Mazzòn, pago por captura de datos del 14 al 18 de noviembre/16</t>
  </si>
  <si>
    <t>Constantino Cabrera, pago por poda de pasto en parque del 15 al 19 de noviembre</t>
  </si>
  <si>
    <t>Luis Hèrnandez, pago por repraciòn de cadena en calle de Upacuaro, Jorge Ramìrez</t>
  </si>
  <si>
    <t>Nueva Walmart de México, S de R.L. de C.V. compra de detalle para evento mesa direc. Con deleg</t>
  </si>
  <si>
    <t>Grisela PeraltA, cooperaciòn en desayuno de la delegaciòn con mesa directiva</t>
  </si>
  <si>
    <t>Estacionamiento desayuno de la delegaciòn con mesa directiva</t>
  </si>
  <si>
    <t>Paco Bicis, pago de pieza a bicicleta del fraccionamiento para rondines</t>
  </si>
  <si>
    <t>Office Depot de Mèxico, S.A. de C.V., compra de toner para presidecia</t>
  </si>
  <si>
    <t>Pedro Bazzan, pago porrecolecciòn de pasto podado toda la semana</t>
  </si>
  <si>
    <t>Entrega a Grisela Peralta cobranza del 3er domingo de noviembre</t>
  </si>
  <si>
    <t>Electropura, S de R.L. de C.V., compra de 11 garrafones de agua</t>
  </si>
  <si>
    <t>Paco Bicis, arreglo de bicicleta de mesa directiva para traslado en el fraccionaiento</t>
  </si>
  <si>
    <t>Sabine Pèrez, pago de comidas para personal que instalaròn postes de cigarro en parque</t>
  </si>
  <si>
    <t>Cadena Comercial Oxxo, S.A. de C.V. compra de refrescos para personal delegaciòn instalaron p</t>
  </si>
  <si>
    <t>Cadena Comercial Oxxo, S.A. de C.V. café para mesa directiva</t>
  </si>
  <si>
    <t>Cadena Comercial Oxxo, S.A. de C.V. refresco para mesa directiva</t>
  </si>
  <si>
    <t>Grisela Peralta, compra de 3 mesas redondas para manualidades</t>
  </si>
  <si>
    <t xml:space="preserve">Patrulla 07 compensaciòn en apoyo a patrullaje en caterales checar casar </t>
  </si>
  <si>
    <t>Paco Bicis, compra de un aciento para bicicletas que estaban en muy mal estado</t>
  </si>
  <si>
    <t>Operadora Central de Estacionamiento SAPI, de C.V. compras varias</t>
  </si>
  <si>
    <t>Distribuidora El Bollo Cafetales, S.A. de C.V. compra de pan reuinión mesa directiva</t>
  </si>
  <si>
    <t>Nueva Walmart de Mèxico, S. de R.L. de C.V. café de grano para casetas</t>
  </si>
  <si>
    <t xml:space="preserve">Grisela Peralta, compra de 1 celular para vigilancia Gama, para tener contacto </t>
  </si>
  <si>
    <t>Distribuidora El Bollo Cafetales, S.A. de C.V., compra pan para caseta Zinampa</t>
  </si>
  <si>
    <t>Distribuidora El Bollo Cafetales, S.A. de C.V., compra de vela para pastel integrante MD</t>
  </si>
  <si>
    <t>Distribuidora El Bollo Cafetales, S.A. de C.V., compra de pastel para integrande MD</t>
  </si>
  <si>
    <t>Jorge Calderon, apoyo a Casa del Arbol, en abosto de parte del fraccionamiento</t>
  </si>
  <si>
    <t>Cadena Comecial Oxxo, S.A. de C.V., compra de refrescos para reuniòn de MD</t>
  </si>
  <si>
    <t>Guardìas y Custodìas Gama, pago ac /de vigilancia 2da quincena ch. # 59</t>
  </si>
  <si>
    <t>Gloria Mazzòn, pago por captura de datos del 21 al 25 de noviembre/16</t>
  </si>
  <si>
    <t>Advanced Servicio CCTV y Còmputo, pago de mano de obra en un respaldo de video UP_114</t>
  </si>
  <si>
    <t>Centro de Copiado y Papelerìa, pago de 1030 copias informe fraccionamiento</t>
  </si>
  <si>
    <t>Constantino Cabrera, pago poda de pasto del fraccionamiento del 22 al 26 de noviembre/16</t>
  </si>
  <si>
    <t>Cartero, compensaciòn por dìa del cartero</t>
  </si>
  <si>
    <t>Grisela Peralta, compensaciòn a grupo de chicos que entregaròn circulara todo el fraccionami</t>
  </si>
  <si>
    <t>Patrulla 007, compensaciòn en apoyo y cuidado fraccionamiento de 20 elementos</t>
  </si>
  <si>
    <t>Cadena Comercial Oxxo, S.A. de C.V. compra de café y refrescos mesa de cobranza y vigilancia</t>
  </si>
  <si>
    <t>Pedro Bazza, pago por recolecciòn de pasto podado toda la semana</t>
  </si>
  <si>
    <t>Patrulla 007, compensaciòn en apoyo de rondines a mesa de cobranza durante diciembre</t>
  </si>
  <si>
    <t>Electropura, S. de R.L. de C.V, compra de 11 garrafones de agua</t>
  </si>
  <si>
    <t>Gloria Mazzòn, pago por concepto en apoyo cobranza domingo 27 de noviembre/16</t>
  </si>
  <si>
    <t>Asunciòn Gama, prestamo personal</t>
  </si>
  <si>
    <t>C.F.E. compensaciòn por trabajos en parque del fraccionamiento compra de refrescos</t>
  </si>
  <si>
    <t>Electropura, S. de R.L. de C.V. compra de 10 garrafones de agua</t>
  </si>
  <si>
    <t>Entrega de cobranza domingo 27 de noviembre</t>
  </si>
  <si>
    <t xml:space="preserve">Paco Bicis, reparaciòn total de bicicleta de rondines del fraccionamiento </t>
  </si>
  <si>
    <t>Advanced Servicio CCTV y Còmputo, a/c de trabajos de la 2da. Calle de landero (CAMARAS)</t>
  </si>
  <si>
    <t>Sr. Ricardo, pago por llevarse escombros y ramas podads de Estopila y Estanzuela</t>
  </si>
  <si>
    <t>Tlapalerìa Jaimes, compra de material de limpieza</t>
  </si>
  <si>
    <t>ES 2895 Servicio Coapa, gasolina para Grisela Peralta compras varias</t>
  </si>
  <si>
    <t>Daniel Gama, prestamo personal</t>
  </si>
  <si>
    <t>Panerìa La Esperanza, S.A. de C.V., compra de pan para sr. Luminarìas del parque</t>
  </si>
  <si>
    <t>Guardìas y Custodìas Gama, pago ac /de vigilancia 2da quincena ch. # 60</t>
  </si>
  <si>
    <t>Roberto Miranda, pago por concepto de barrer todo el fracc de lunes a viernes 2da. Quincena</t>
  </si>
  <si>
    <t>Ferre-Electrica Dìaz, compra de cinta caneral para pegar adornos de navidad en fraccionamien</t>
  </si>
  <si>
    <t>Pedro Bazza, pago por recolecciòn de basura 2da. Quincena de noviembre/16</t>
  </si>
  <si>
    <t>Grisela Peralta Portugal, pago 2da. Quincena de noviembre/16</t>
  </si>
  <si>
    <t>Entrega a Grisela Peralta, cobranza ultima semana de noviembre/16</t>
  </si>
  <si>
    <t>Transferencia bancara Upacuaro # 46 pago mes de noviembre/16</t>
  </si>
  <si>
    <t>Deposito de cheque #209 Colegio Carmel, pago cuota-mantenimiento noviembre/16</t>
  </si>
  <si>
    <t>Com. Chq. Exped.</t>
  </si>
  <si>
    <t>I.V.A. Com. Chq. Exped.</t>
  </si>
  <si>
    <t>Sabine Pèrez, pago de 8 comidas paersonal de la delegaciòn luminarias en parque</t>
  </si>
  <si>
    <t>Paco Bicis, compra de camara y rin, bicicleta fraccionamiento</t>
  </si>
  <si>
    <t>Distribuidora Liverpool, S.A. e .C.V., junta en restaurante con delgaciòn varios acuerdos</t>
  </si>
  <si>
    <t>Roberto Miranda, corte de follaje de Estanzuela y recolecciòn</t>
  </si>
  <si>
    <t>Gloria Mazzòn, pago de captura de datos del 28 de nov al 02 dic/16</t>
  </si>
  <si>
    <t>Office Depot de Mèxico, S.A. de C.V., compra de 1 perforadora y libreta presidencia</t>
  </si>
  <si>
    <t>Cadena Comercial Oxxo, S.A. de C.V., compra de botanas para vigilancia trabajos varios</t>
  </si>
  <si>
    <t>Manuel Gama, pago en apoyo sacar abejas de luinarias del parque</t>
  </si>
  <si>
    <t>Imagen Publicitarìa, compra de 3 lonas informaciòn al fraccionamiento de eventos diciembre</t>
  </si>
  <si>
    <t>Constantino Cabrera, pago por poda de pasto parque 29 nov al 03 dic/16</t>
  </si>
  <si>
    <t>Cadena Comercial Oxxo, S.A. de C.V., compra de refrescos y café mesa de cobranza domingos</t>
  </si>
  <si>
    <t>Camiòn de basura, pago por recolecciòn de pasto podado</t>
  </si>
  <si>
    <t>Pedro Bazza, pago por recolecciòn de basura en todo el fraccionamiento fin de semana</t>
  </si>
  <si>
    <t>Centro de Copiado, pago 460 copias para informes a todo el fraccionamiento</t>
  </si>
  <si>
    <t>Mercado Miramontes, compra de piñatas para evento en kosco</t>
  </si>
  <si>
    <t>Los Unicos y Autenticos Tamales y Atole, compra de desayunos para vigilancia apoyo dia virgen</t>
  </si>
  <si>
    <t>Gloria Mazzòn, pago en apoyo cobranza domingo 04 de dìciembre/16</t>
  </si>
  <si>
    <t>Centro de Copiado, pago 150 copias T. carta</t>
  </si>
  <si>
    <t>Diego Linares, pago de tacos de canasta vigilancia evento virgen de Guadalupe</t>
  </si>
  <si>
    <t>Sandra Hernàndez, pago de arreglos navideños para personas en apoyo externos delegaciòn</t>
  </si>
  <si>
    <t>Grisela Peralta, pago a jovenes que apoyan de entrega de circulares dobladas todo el fracc.</t>
  </si>
  <si>
    <t>Florerìa Lupita, pago de 3 arreglos de flores para misa que se llevò a cabo en parque fracc</t>
  </si>
  <si>
    <t>Camiòn de basura, pago por recolecciòn de cascago en parque festejo vigen de Guadalupe</t>
  </si>
  <si>
    <t>Manuel Gama, compensaciòn en apoyo en tarde noche evento de virgen de Guadalupe</t>
  </si>
  <si>
    <t>Asunciòn Gama, compensaciòn en apoyo de cargar a virgen de Guadalupe</t>
  </si>
  <si>
    <t>Siegrist Contadores Publicos, pago de honorarios del mes dici/16 y anualidad CH. #63</t>
  </si>
  <si>
    <t>SAT Servicio de Administración Tributaria, pago de mes de diciembre/16 CH. # 58</t>
  </si>
  <si>
    <t>Entrega a Grisela Peralta primer domingo de cobranza diciembre/16</t>
  </si>
  <si>
    <t>Pastelerìa Bodon, S.A. de C.V., compra de botanas para junta mesa directiva y cobranza</t>
  </si>
  <si>
    <t>Pastelerìa Bodon, S.A. de C.V., compra de dulces para aguinaldos posada del fraccionamiento</t>
  </si>
  <si>
    <t>Inmobiliarìa Lirca, S.A. de C.V., gasolina para pesidencia compras varias</t>
  </si>
  <si>
    <t>Advanced Servicio CCTV y Còmputo, a/c pago bocina para fraccionamiento</t>
  </si>
  <si>
    <t>Sabine Pèrez, pago de desayuno para personal de vigilnacia del fraccionamiento fin de año</t>
  </si>
  <si>
    <t>Jardinerìa Alvarez, compra de musgo para nacimiento en kiosco</t>
  </si>
  <si>
    <t>Jardinerìa Alvarez, compra de nacimientos y portal para el kiosco evento posada fraccionamai</t>
  </si>
  <si>
    <t>Centro de Copiado y Papelelrìa, pago de pael craft y cinta canela para adornos kiosco</t>
  </si>
  <si>
    <t>Alimentos la Paloma SA de CV compra gelatina visita a integrante de cobranza pesame</t>
  </si>
  <si>
    <t>Cadena Comercial Oxxo, S.A. de C.V. compra de pilas para bocina bafle del fraccionamiento</t>
  </si>
  <si>
    <t>Mercado Miramontes, compra de bruta para ponche evento en kiosco</t>
  </si>
  <si>
    <t>Mercado Miramontes, compra de piñatas para evento en kiosco</t>
  </si>
  <si>
    <t>Mercado Miramontes, compra de piñata para evento fraccionamiento</t>
  </si>
  <si>
    <t>Comercializadora Caspin, SA de CV compra de pintura en aerosol para pintar portal en kiosco</t>
  </si>
  <si>
    <t>Advanced Servicio CCTV y Còmputo, liq. De bafle amplificador de 15" marca Bitek</t>
  </si>
  <si>
    <t>Mercado Miramontes, compra de fruta para  piñatas</t>
  </si>
  <si>
    <t>Grisela Peralta, compra de varios articulos para rifa en posada del fraccionamiento</t>
  </si>
  <si>
    <t>Mercado Miramontes, compra de lima para piñatas evento fraccionamiento posada</t>
  </si>
  <si>
    <t>Gloria Mazzòn, pago por captura de datos del 05 de diciembre/16</t>
  </si>
  <si>
    <t>Manuel Gama, compra de tacos para los muchacos de vigilancia en apoyo posada</t>
  </si>
  <si>
    <t>Papelerìa La Peque, compra de series, arreglos y velas para decoraciòn kiosco fraccionamiento</t>
  </si>
  <si>
    <t>Hector Vazquèz, compensaciòn por realizar USB para villansicos en posada</t>
  </si>
  <si>
    <t>Grisela Peralta, compra de empanadas a mesa directiva, compras de posada fraccionamiento</t>
  </si>
  <si>
    <t>Grisela Peralta, gratificaciones a personal de vigilancia y de mesa directiva</t>
  </si>
  <si>
    <t>Constantino Cabrera, pago por poda de pasto parque del 6 al 10 de diciembre</t>
  </si>
  <si>
    <t>Camiòn basura, pago por recoger cascajo del parque, por posade del fraccionamiento</t>
  </si>
  <si>
    <t>Roberto Gama, pago por barrer explanada y apoyo en todo el evento de posada del fraccionam</t>
  </si>
  <si>
    <t>Sabine Pèrez, pago por hacer ponche para posada fraccionamiento</t>
  </si>
  <si>
    <t>Manuel Gama, compensaciòn en apoyo por traslado de ponche, piñatas y en todo el evento</t>
  </si>
  <si>
    <t>Constantino Cabrera, compra de materialdes para doda del parque fraccionamiento</t>
  </si>
  <si>
    <t>Cadena Comercial Oxxo, S.A. de C.V. compra café y refrescos para mesa cobranza y vigilancia</t>
  </si>
  <si>
    <t>Pedro Bazzan, pago por recolección de basura en fraccionamiento fines de semanas</t>
  </si>
  <si>
    <t>Pedro Bazzan, pago por recolección de pasto podado toda la semana</t>
  </si>
  <si>
    <t>Consorcio Gasolinero Plus, S.A. de C.V. gasolina presidencia varias compras</t>
  </si>
  <si>
    <t>Gloria Mazzón, pago en apoyo cobranza domingo 11 de diciembre/16</t>
  </si>
  <si>
    <t>Panerías La Esperanza, S.A. de C.V. compra de bolillo para tortas a vigilancia</t>
  </si>
  <si>
    <t>Cadena Comercial Oxxo, S.A. de C.V., compra de materiales de limpieza para casetas</t>
  </si>
  <si>
    <t>Patrulla 007, compensación en apoyo en fraccionamiento</t>
  </si>
  <si>
    <t>Office Depot de México, S.A. de C.V., compra de papel para presidencia</t>
  </si>
  <si>
    <t>Roberto Miranda, pago por barrer todo el fraccionamiento de lunes a viernes 1er quincena dic</t>
  </si>
  <si>
    <t>Roberto Miranda, gratificación en apoyo todo el año en barrer todo el fraccionamiento</t>
  </si>
  <si>
    <t xml:space="preserve">Roberto Miranda, pago por recolección de pasto </t>
  </si>
  <si>
    <t>Daniel Gama, pago en apoyo poner lona para nacimiento en kiosco</t>
  </si>
  <si>
    <t>Sr. Roman, pago de herrería en puerta estopila con pieza</t>
  </si>
  <si>
    <t>Sr. Roman, pago trabajo de herreria en pluma de Romeral</t>
  </si>
  <si>
    <t>Guardìas y Custodìas Gama, pago a/c de vigilancia 1er quincena ch.#65</t>
  </si>
  <si>
    <t>Grisela Peralta, pago 1er quinena del mes de diciembre</t>
  </si>
  <si>
    <t>Entrega a Grisela Peralta segundo domingo de diciembre/16</t>
  </si>
  <si>
    <t>Telefonos de México, SAB de C.V. pago telefonos mes de noviembre</t>
  </si>
  <si>
    <t>Pedro Bazza, pago por recolecciòn de basura de lunes a viernes 1er quincena</t>
  </si>
  <si>
    <t xml:space="preserve">Guardìas y Custodìas Gama, pago liq de vigilancia 1er quincena </t>
  </si>
  <si>
    <t>Deposito a cuenta pago mantenimiento</t>
  </si>
  <si>
    <t>Deposito a cuenta pago mantenimiento upacuaro # 46 fam. Fuentes</t>
  </si>
  <si>
    <t>Electropura, S. de R.L. de C.V. compra de 13 garrafones de agua</t>
  </si>
  <si>
    <t>Gloria Mazzòn, pago por captura de datos del 12 al 16 de diciembre/16</t>
  </si>
  <si>
    <t>Olegario Gama, compra de jarra para cafetera de vigilancia de Romeral</t>
  </si>
  <si>
    <t>Luis Hernàndez, pago por trabajo de herrerìa en reja del fracc en todas las puertas</t>
  </si>
  <si>
    <t>Papelerìa La Peque, compra de detalle para MD</t>
  </si>
  <si>
    <t>Jimenez, Gama compensaciòn en apoyo de cuidar perrito perdido en el fraccionamiento</t>
  </si>
  <si>
    <t>Constantino Cabrera, pago poda de pasto en el parque del 13 al 17 de diciembre/16</t>
  </si>
  <si>
    <t>Camiòn basura, recolecciòn y acarreo de ladrillos y desechos de tenneno EP y CL</t>
  </si>
  <si>
    <t>Cooperaciòn a vecino para cortar cesped y bolsas para pasto EP salida de la escuela</t>
  </si>
  <si>
    <t>Manuel Gama, pago en apoyo de quitar poster del fracc en general y por fuera</t>
  </si>
  <si>
    <t>Pedro Bazzan, pago por recolecciòn de pasto podado en la semana</t>
  </si>
  <si>
    <t>Pedro Bazzan, pago por recolecciòn en fin de semana en el fraccionamiento</t>
  </si>
  <si>
    <t>Cadena Comercial Oxxo, S.A. de C.V. compra de café y refrescos para mesa de cobranza y vigilan</t>
  </si>
  <si>
    <t>Manuel Gama, compensaciòn en apoyo con camiòn de Gas y apoyo en supervisar rejas</t>
  </si>
  <si>
    <t>Gloria Mazzòn, pago en apoyo cobranza domingo 18 de diciembre/16</t>
  </si>
  <si>
    <t>Cheque depositado del Colegio Carmel pago mantenimiento del mes de diciembre/16</t>
  </si>
  <si>
    <t>Cartero, compensaciòn de fin de año por su buen desempeño</t>
  </si>
  <si>
    <t>Entrega a Grisela Peralta cobranza del 3er domingo de diciembre</t>
  </si>
  <si>
    <t>Serviciio Robledo, S.A. de C.V. compra de gasolina para presidencia Grisela Peralta</t>
  </si>
  <si>
    <t>Pedro Bazza, apoyo para todo su personal de recolecciòn de basura 2016</t>
  </si>
  <si>
    <t>Italcafe, S.A. de C.V., desayuno para la mesa directiva</t>
  </si>
  <si>
    <t>Office Depot de Mèxico, S.A. de C.V., compra de material de papelerìa presidencia</t>
  </si>
  <si>
    <t>Luis Hernàndez, pago por soldar 2 tapas de luz</t>
  </si>
  <si>
    <t>Panerías La Esperanza, S.A. de C.V. compra de bocadillos para personal vigilancia</t>
  </si>
  <si>
    <t>Giovana Mayen, compra de bolsal para detalles para la mesa directiva</t>
  </si>
  <si>
    <t>Sanborns Hermanos, S.A. compra de detalles para mesa directiva personal de cobranza</t>
  </si>
  <si>
    <t>Sanborns Hermanos, S.A. compra de detalle para comitè vecinal ayuda a la mesa directiva</t>
  </si>
  <si>
    <t>Ssnborns Hermanos, S.A. compra de detalle para comitè vecinal ayuda a la mesa directiva</t>
  </si>
  <si>
    <t>Olegario Gama, pago por corte de pasto caseta de Romeral</t>
  </si>
  <si>
    <t xml:space="preserve">Luis Manuel Jìmenez pago en apoyo vigilancia a vecinos </t>
  </si>
  <si>
    <t>Gloria Mazzòn, pago por captura de datos del 19 al 23 de diciembre/16</t>
  </si>
  <si>
    <t>Luis Hernàndez, pago por herrerìa en chapa de estanzuela se safo una parte</t>
  </si>
  <si>
    <t>Gloria Mazzòn, compra de varios detalles para mesa directiva</t>
  </si>
  <si>
    <t>Cadena Comercial Oxxo, S.A. de C.V. compra de botanas para vigilancia</t>
  </si>
  <si>
    <t>Sistemas de Còmputo, compra de un programa para llevar control sobre personal de servicio</t>
  </si>
  <si>
    <t>Constantino Cabrera, pago por poda de pasto parque del 20 al 24 de diciembre/16</t>
  </si>
  <si>
    <t>Patrulla 007, compensaciòn en apoyo de rondines en noche de navidad en fraccionamiento</t>
  </si>
  <si>
    <t>Chef Nucamendi pago de cena navideña personal de vigilancia</t>
  </si>
  <si>
    <t>Office Depot de Mèxico, S.A. de C.V. pago de enmicado de credenciales</t>
  </si>
  <si>
    <t>Pedro Bazzan, pago por recolecciòn de basura y pasto en fin de semana</t>
  </si>
  <si>
    <t xml:space="preserve">Patrulla 007, pago en apoyo de patrullaje domingo de cobranza  </t>
  </si>
  <si>
    <t>Patrulla 007, compra de detalle de navidad, chocolates</t>
  </si>
  <si>
    <t>Cadena Comercial Oxxo, S.A. de C.V., compra de café y refrescos para mesa de cobranza y vigila</t>
  </si>
  <si>
    <t>Entrega de cobranza del 4to domingo de diciembre</t>
  </si>
  <si>
    <t>Elecropura, S. de R.L. de C.V. compra de 10 garrafones de agua para casetas</t>
  </si>
  <si>
    <t>Advanced Servicio CCTV y Còmputo, compra de 30 tarjetas procar y configuraciòn de las misma</t>
  </si>
  <si>
    <t>Advanced Servicio CCTV y Còmputo, pago de video para Upacuaro 110</t>
  </si>
  <si>
    <t>Constantino Cabrera, poda de pasto del 27 al 31 de diciembre</t>
  </si>
  <si>
    <t>Personal delegaciòn, compensaciòn en apoyo de llevarse escombros del parque</t>
  </si>
  <si>
    <t>Asunciòn Gama, compra de extenciòn para conectar aparatos electronicos en caseta</t>
  </si>
  <si>
    <t>Roberto Miranda,  pago por barrer en romeral y juntar todo el pasto podado</t>
  </si>
  <si>
    <t>Roberto Miranda, pago por barrer todo el fraccionamiento de lunea a vienres de la 2da. Quinc</t>
  </si>
  <si>
    <t>Pedro Bazzan, pago por recolecciòn de basura de la 2da. Quincena de diciembre</t>
  </si>
  <si>
    <t>Guardìas y Custodìas Gama, pago liq de vigilancia 2da. quincena de diciembre</t>
  </si>
  <si>
    <t>Grisela Peralta, pago de la 2da. Quincena de diciembre/16</t>
  </si>
  <si>
    <t>Tiendas Chedraui, S.A. de C.V. compra de materiales de limpieza para casetas</t>
  </si>
  <si>
    <t>Frituras El Paricutin, compra de pollos adobados para cena de fin de años del primer turno</t>
  </si>
  <si>
    <t>Cadena Comercial Oxxo, S.A. de C.V. compra de refrescos para la cena del fin de año</t>
  </si>
  <si>
    <t>Cadena Comercial Oxxo, S.A. de C.V. compra de refrescos para personal delegaciòn pintaron pa</t>
  </si>
  <si>
    <t>Cadena Comercial Oxxo, S.A. de C.V. compra de refrescos para cena fin de año segundo tunor</t>
  </si>
  <si>
    <t>Distruibuidora el Bollo, compra de pan para cena de los vigilantes</t>
  </si>
  <si>
    <t>Jose  Asunciòn, ayuda de la mesa directiva para medicamentos de su hija que enfermo fuerteme</t>
  </si>
  <si>
    <t>Gloria Mazzòn, pago por captura de datos del 26 al 30 de diciembre/16</t>
  </si>
  <si>
    <t>Chef Nucamendi, pago por cena para personal de vigilancia</t>
  </si>
  <si>
    <t>Patrulla 007, compensaciòn en apoyo de rondines en año nuevo</t>
  </si>
  <si>
    <t>Patrulla 007, compensaciòn en apoyo de vigilar 1ero de enero/16</t>
  </si>
  <si>
    <t>Entrega a Grisela Peralta cobranza del 26 al 31 de diciembre/16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</si>
</sst>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0" fillId="0" borderId="0" xfId="0" applyBorder="1"/>
    <xf numFmtId="0" fontId="1" fillId="0" borderId="5" xfId="0" applyFont="1" applyBorder="1" applyAlignment="1">
      <alignment horizontal="center"/>
    </xf>
    <xf numFmtId="4" fontId="0" fillId="0" borderId="4" xfId="0" applyNumberFormat="1" applyBorder="1" applyAlignment="1">
      <alignment horizontal="right"/>
    </xf>
    <xf numFmtId="14" fontId="0" fillId="0" borderId="1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4" xfId="0" applyFill="1" applyBorder="1"/>
    <xf numFmtId="0" fontId="1" fillId="0" borderId="8" xfId="0" applyFont="1" applyBorder="1" applyAlignment="1">
      <alignment horizontal="center"/>
    </xf>
    <xf numFmtId="4" fontId="0" fillId="0" borderId="10" xfId="0" applyNumberFormat="1" applyBorder="1" applyAlignment="1">
      <alignment horizontal="right"/>
    </xf>
    <xf numFmtId="0" fontId="0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4" fontId="0" fillId="0" borderId="11" xfId="0" applyNumberFormat="1" applyBorder="1" applyAlignment="1">
      <alignment horizontal="right"/>
    </xf>
    <xf numFmtId="4" fontId="0" fillId="0" borderId="11" xfId="0" applyNumberFormat="1" applyBorder="1"/>
    <xf numFmtId="0" fontId="0" fillId="0" borderId="11" xfId="0" applyBorder="1"/>
    <xf numFmtId="0" fontId="0" fillId="0" borderId="11" xfId="0" applyFill="1" applyBorder="1"/>
    <xf numFmtId="4" fontId="0" fillId="0" borderId="13" xfId="0" applyNumberFormat="1" applyBorder="1" applyAlignment="1">
      <alignment horizontal="right"/>
    </xf>
    <xf numFmtId="4" fontId="0" fillId="0" borderId="11" xfId="0" applyNumberFormat="1" applyFont="1" applyBorder="1" applyAlignment="1">
      <alignment horizontal="right"/>
    </xf>
    <xf numFmtId="4" fontId="0" fillId="0" borderId="8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14" fontId="0" fillId="0" borderId="11" xfId="0" applyNumberFormat="1" applyFont="1" applyBorder="1" applyAlignment="1">
      <alignment horizontal="center"/>
    </xf>
    <xf numFmtId="4" fontId="0" fillId="0" borderId="15" xfId="0" applyNumberFormat="1" applyBorder="1"/>
    <xf numFmtId="4" fontId="1" fillId="0" borderId="15" xfId="0" applyNumberFormat="1" applyFont="1" applyBorder="1"/>
    <xf numFmtId="0" fontId="0" fillId="0" borderId="11" xfId="0" applyFont="1" applyFill="1" applyBorder="1" applyAlignment="1">
      <alignment horizontal="left"/>
    </xf>
    <xf numFmtId="14" fontId="0" fillId="0" borderId="8" xfId="0" applyNumberFormat="1" applyFont="1" applyBorder="1" applyAlignment="1">
      <alignment horizontal="center"/>
    </xf>
    <xf numFmtId="14" fontId="0" fillId="0" borderId="12" xfId="0" applyNumberFormat="1" applyFont="1" applyBorder="1" applyAlignment="1">
      <alignment horizontal="center"/>
    </xf>
    <xf numFmtId="0" fontId="0" fillId="0" borderId="13" xfId="0" applyBorder="1"/>
    <xf numFmtId="14" fontId="0" fillId="0" borderId="11" xfId="0" applyNumberFormat="1" applyFont="1" applyFill="1" applyBorder="1" applyAlignment="1">
      <alignment horizontal="center"/>
    </xf>
    <xf numFmtId="4" fontId="1" fillId="0" borderId="11" xfId="0" applyNumberFormat="1" applyFont="1" applyBorder="1"/>
    <xf numFmtId="14" fontId="0" fillId="0" borderId="2" xfId="0" applyNumberFormat="1" applyFont="1" applyBorder="1" applyAlignment="1">
      <alignment horizontal="center"/>
    </xf>
    <xf numFmtId="14" fontId="0" fillId="0" borderId="1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14" fontId="0" fillId="0" borderId="18" xfId="0" applyNumberFormat="1" applyFont="1" applyBorder="1" applyAlignment="1">
      <alignment horizontal="center"/>
    </xf>
    <xf numFmtId="14" fontId="1" fillId="0" borderId="0" xfId="0" applyNumberFormat="1" applyFont="1"/>
    <xf numFmtId="0" fontId="0" fillId="0" borderId="11" xfId="0" applyFont="1" applyBorder="1"/>
    <xf numFmtId="14" fontId="0" fillId="0" borderId="1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" fontId="0" fillId="0" borderId="0" xfId="0" applyNumberFormat="1" applyBorder="1"/>
    <xf numFmtId="4" fontId="0" fillId="0" borderId="0" xfId="0" applyNumberFormat="1" applyBorder="1" applyAlignment="1">
      <alignment horizontal="center"/>
    </xf>
    <xf numFmtId="4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/>
    <xf numFmtId="4" fontId="0" fillId="0" borderId="0" xfId="0" applyNumberFormat="1" applyFont="1" applyBorder="1" applyAlignment="1">
      <alignment horizontal="right"/>
    </xf>
    <xf numFmtId="14" fontId="1" fillId="0" borderId="11" xfId="0" applyNumberFormat="1" applyFont="1" applyBorder="1" applyAlignment="1">
      <alignment horizontal="center"/>
    </xf>
    <xf numFmtId="0" fontId="1" fillId="0" borderId="11" xfId="0" applyFont="1" applyBorder="1"/>
    <xf numFmtId="4" fontId="1" fillId="0" borderId="11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center"/>
    </xf>
    <xf numFmtId="15" fontId="0" fillId="0" borderId="19" xfId="0" applyNumberFormat="1" applyFill="1" applyBorder="1" applyAlignment="1">
      <alignment vertical="center"/>
    </xf>
    <xf numFmtId="15" fontId="0" fillId="0" borderId="20" xfId="0" applyNumberFormat="1" applyFill="1" applyBorder="1" applyAlignment="1">
      <alignment vertical="center"/>
    </xf>
    <xf numFmtId="15" fontId="0" fillId="0" borderId="11" xfId="0" applyNumberFormat="1" applyFill="1" applyBorder="1" applyAlignment="1">
      <alignment vertical="center"/>
    </xf>
    <xf numFmtId="15" fontId="0" fillId="0" borderId="12" xfId="0" applyNumberFormat="1" applyFill="1" applyBorder="1" applyAlignment="1">
      <alignment vertical="center"/>
    </xf>
    <xf numFmtId="14" fontId="0" fillId="0" borderId="20" xfId="0" applyNumberForma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14" fontId="0" fillId="0" borderId="21" xfId="0" applyNumberFormat="1" applyFill="1" applyBorder="1" applyAlignment="1">
      <alignment horizontal="center" vertical="center"/>
    </xf>
    <xf numFmtId="14" fontId="0" fillId="0" borderId="12" xfId="0" applyNumberFormat="1" applyFill="1" applyBorder="1" applyAlignment="1">
      <alignment horizontal="center" vertical="center"/>
    </xf>
    <xf numFmtId="0" fontId="0" fillId="0" borderId="0" xfId="0" applyFont="1" applyBorder="1"/>
    <xf numFmtId="4" fontId="0" fillId="2" borderId="11" xfId="0" applyNumberFormat="1" applyFill="1" applyBorder="1" applyAlignment="1">
      <alignment horizontal="right"/>
    </xf>
    <xf numFmtId="14" fontId="0" fillId="2" borderId="0" xfId="0" applyNumberFormat="1" applyFont="1" applyFill="1" applyBorder="1" applyAlignment="1">
      <alignment horizontal="center"/>
    </xf>
    <xf numFmtId="4" fontId="0" fillId="2" borderId="11" xfId="0" applyNumberFormat="1" applyFont="1" applyFill="1" applyBorder="1" applyAlignment="1">
      <alignment horizontal="right"/>
    </xf>
    <xf numFmtId="14" fontId="0" fillId="2" borderId="11" xfId="0" applyNumberFormat="1" applyFont="1" applyFill="1" applyBorder="1" applyAlignment="1">
      <alignment horizontal="center"/>
    </xf>
    <xf numFmtId="4" fontId="0" fillId="0" borderId="11" xfId="0" applyNumberFormat="1" applyFont="1" applyBorder="1" applyAlignment="1">
      <alignment horizontal="center"/>
    </xf>
    <xf numFmtId="14" fontId="0" fillId="0" borderId="2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3" fillId="0" borderId="0" xfId="0" applyFont="1"/>
    <xf numFmtId="0" fontId="1" fillId="0" borderId="7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4" fontId="0" fillId="0" borderId="8" xfId="0" applyNumberFormat="1" applyFont="1" applyBorder="1" applyAlignment="1">
      <alignment horizontal="center"/>
    </xf>
    <xf numFmtId="4" fontId="0" fillId="0" borderId="23" xfId="0" applyNumberFormat="1" applyBorder="1"/>
    <xf numFmtId="17" fontId="0" fillId="0" borderId="9" xfId="0" applyNumberFormat="1" applyFont="1" applyBorder="1" applyAlignment="1">
      <alignment horizontal="center"/>
    </xf>
    <xf numFmtId="17" fontId="0" fillId="0" borderId="11" xfId="0" applyNumberForma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1" fillId="0" borderId="0" xfId="0" applyFont="1"/>
    <xf numFmtId="0" fontId="0" fillId="0" borderId="11" xfId="0" applyFill="1" applyBorder="1" applyAlignment="1">
      <alignment horizontal="center"/>
    </xf>
    <xf numFmtId="4" fontId="0" fillId="0" borderId="11" xfId="0" applyNumberFormat="1" applyFill="1" applyBorder="1" applyAlignment="1">
      <alignment horizontal="right"/>
    </xf>
    <xf numFmtId="4" fontId="4" fillId="0" borderId="11" xfId="0" applyNumberFormat="1" applyFont="1" applyBorder="1" applyAlignment="1">
      <alignment horizontal="right"/>
    </xf>
    <xf numFmtId="15" fontId="0" fillId="0" borderId="4" xfId="0" applyNumberFormat="1" applyFill="1" applyBorder="1" applyAlignment="1">
      <alignment vertical="center"/>
    </xf>
    <xf numFmtId="0" fontId="1" fillId="0" borderId="0" xfId="0" applyFont="1" applyBorder="1" applyAlignment="1">
      <alignment horizontal="right"/>
    </xf>
    <xf numFmtId="14" fontId="0" fillId="0" borderId="0" xfId="0" applyNumberFormat="1"/>
    <xf numFmtId="0" fontId="0" fillId="0" borderId="0" xfId="0" applyFill="1" applyBorder="1"/>
    <xf numFmtId="0" fontId="0" fillId="0" borderId="0" xfId="0" applyAlignment="1">
      <alignment horizontal="right"/>
    </xf>
    <xf numFmtId="0" fontId="0" fillId="3" borderId="0" xfId="0" applyFill="1"/>
    <xf numFmtId="4" fontId="0" fillId="3" borderId="11" xfId="0" applyNumberFormat="1" applyFill="1" applyBorder="1" applyAlignment="1">
      <alignment horizontal="right"/>
    </xf>
    <xf numFmtId="4" fontId="0" fillId="3" borderId="11" xfId="0" applyNumberFormat="1" applyFont="1" applyFill="1" applyBorder="1" applyAlignment="1">
      <alignment horizontal="right"/>
    </xf>
    <xf numFmtId="8" fontId="0" fillId="0" borderId="0" xfId="0" applyNumberFormat="1"/>
    <xf numFmtId="4" fontId="1" fillId="0" borderId="6" xfId="0" applyNumberFormat="1" applyFont="1" applyBorder="1" applyAlignment="1">
      <alignment horizontal="right"/>
    </xf>
    <xf numFmtId="4" fontId="0" fillId="0" borderId="14" xfId="0" applyNumberFormat="1" applyBorder="1" applyAlignment="1">
      <alignment horizontal="right"/>
    </xf>
    <xf numFmtId="4" fontId="1" fillId="0" borderId="15" xfId="0" applyNumberFormat="1" applyFont="1" applyBorder="1" applyAlignment="1">
      <alignment horizontal="right"/>
    </xf>
    <xf numFmtId="4" fontId="1" fillId="0" borderId="12" xfId="0" applyNumberFormat="1" applyFont="1" applyBorder="1" applyAlignment="1">
      <alignment horizontal="center"/>
    </xf>
    <xf numFmtId="4" fontId="0" fillId="0" borderId="24" xfId="0" applyNumberFormat="1" applyBorder="1" applyAlignment="1">
      <alignment horizontal="righ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4" fontId="0" fillId="0" borderId="12" xfId="0" applyNumberFormat="1" applyBorder="1"/>
    <xf numFmtId="0" fontId="1" fillId="0" borderId="2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4" fontId="5" fillId="0" borderId="15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4" fontId="1" fillId="0" borderId="12" xfId="0" applyNumberFormat="1" applyFont="1" applyBorder="1" applyAlignment="1">
      <alignment horizontal="right"/>
    </xf>
    <xf numFmtId="0" fontId="1" fillId="0" borderId="15" xfId="0" applyFont="1" applyBorder="1" applyAlignment="1">
      <alignment horizontal="center"/>
    </xf>
    <xf numFmtId="0" fontId="0" fillId="0" borderId="12" xfId="0" applyFont="1" applyBorder="1" applyAlignment="1">
      <alignment horizontal="left"/>
    </xf>
    <xf numFmtId="0" fontId="1" fillId="0" borderId="15" xfId="0" applyFont="1" applyBorder="1" applyAlignment="1">
      <alignment horizontal="right"/>
    </xf>
    <xf numFmtId="4" fontId="1" fillId="0" borderId="15" xfId="0" applyNumberFormat="1" applyFont="1" applyBorder="1" applyAlignment="1">
      <alignment horizontal="center"/>
    </xf>
    <xf numFmtId="0" fontId="0" fillId="4" borderId="0" xfId="0" applyFill="1"/>
    <xf numFmtId="0" fontId="0" fillId="5" borderId="11" xfId="0" applyFont="1" applyFill="1" applyBorder="1" applyAlignment="1">
      <alignment horizontal="left"/>
    </xf>
    <xf numFmtId="4" fontId="0" fillId="0" borderId="0" xfId="0" applyNumberFormat="1" applyAlignment="1">
      <alignment horizontal="right" indent="1"/>
    </xf>
    <xf numFmtId="4" fontId="1" fillId="0" borderId="22" xfId="0" applyNumberFormat="1" applyFont="1" applyBorder="1"/>
    <xf numFmtId="17" fontId="1" fillId="0" borderId="0" xfId="0" applyNumberFormat="1" applyFont="1" applyAlignment="1">
      <alignment horizontal="center"/>
    </xf>
    <xf numFmtId="4" fontId="6" fillId="0" borderId="15" xfId="0" applyNumberFormat="1" applyFont="1" applyBorder="1" applyAlignment="1">
      <alignment horizontal="right"/>
    </xf>
    <xf numFmtId="49" fontId="3" fillId="0" borderId="1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0" fillId="0" borderId="23" xfId="0" applyNumberFormat="1" applyBorder="1" applyAlignment="1">
      <alignment horizontal="right"/>
    </xf>
    <xf numFmtId="0" fontId="1" fillId="0" borderId="28" xfId="0" applyFont="1" applyFill="1" applyBorder="1" applyAlignment="1">
      <alignment horizontal="center"/>
    </xf>
    <xf numFmtId="4" fontId="7" fillId="0" borderId="11" xfId="0" applyNumberFormat="1" applyFont="1" applyBorder="1"/>
    <xf numFmtId="4" fontId="0" fillId="2" borderId="11" xfId="0" applyNumberFormat="1" applyFill="1" applyBorder="1"/>
    <xf numFmtId="0" fontId="1" fillId="0" borderId="29" xfId="0" applyFont="1" applyFill="1" applyBorder="1" applyAlignment="1">
      <alignment horizontal="center"/>
    </xf>
    <xf numFmtId="0" fontId="0" fillId="0" borderId="12" xfId="0" applyBorder="1"/>
    <xf numFmtId="0" fontId="0" fillId="0" borderId="0" xfId="0" applyFill="1" applyBorder="1" applyAlignment="1">
      <alignment horizontal="center"/>
    </xf>
    <xf numFmtId="0" fontId="0" fillId="6" borderId="0" xfId="0" applyFill="1"/>
    <xf numFmtId="0" fontId="0" fillId="2" borderId="15" xfId="0" applyFill="1" applyBorder="1"/>
    <xf numFmtId="0" fontId="1" fillId="0" borderId="0" xfId="0" applyFont="1" applyFill="1" applyBorder="1"/>
    <xf numFmtId="8" fontId="8" fillId="0" borderId="0" xfId="0" applyNumberFormat="1" applyFont="1" applyAlignment="1">
      <alignment horizontal="left"/>
    </xf>
    <xf numFmtId="0" fontId="9" fillId="0" borderId="0" xfId="0" applyFont="1"/>
    <xf numFmtId="0" fontId="1" fillId="0" borderId="30" xfId="0" applyFont="1" applyBorder="1" applyAlignment="1">
      <alignment horizontal="center"/>
    </xf>
    <xf numFmtId="17" fontId="1" fillId="0" borderId="27" xfId="0" applyNumberFormat="1" applyFont="1" applyBorder="1" applyAlignment="1">
      <alignment horizontal="center"/>
    </xf>
    <xf numFmtId="4" fontId="1" fillId="0" borderId="12" xfId="0" applyNumberFormat="1" applyFont="1" applyBorder="1"/>
    <xf numFmtId="4" fontId="0" fillId="0" borderId="15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center"/>
    </xf>
    <xf numFmtId="0" fontId="0" fillId="2" borderId="11" xfId="0" applyFill="1" applyBorder="1"/>
    <xf numFmtId="4" fontId="0" fillId="2" borderId="11" xfId="0" applyNumberFormat="1" applyFont="1" applyFill="1" applyBorder="1" applyAlignment="1">
      <alignment horizontal="center"/>
    </xf>
    <xf numFmtId="14" fontId="0" fillId="0" borderId="31" xfId="0" applyNumberFormat="1" applyFill="1" applyBorder="1" applyAlignment="1">
      <alignment horizontal="center" vertical="center"/>
    </xf>
    <xf numFmtId="15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horizontal="right"/>
    </xf>
    <xf numFmtId="0" fontId="0" fillId="0" borderId="4" xfId="0" applyFont="1" applyBorder="1" applyAlignment="1">
      <alignment horizontal="left"/>
    </xf>
    <xf numFmtId="0" fontId="0" fillId="2" borderId="0" xfId="0" applyFill="1"/>
    <xf numFmtId="4" fontId="0" fillId="6" borderId="1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B1:I135"/>
  <sheetViews>
    <sheetView topLeftCell="A92" zoomScale="84" zoomScaleNormal="84" workbookViewId="0">
      <selection activeCell="E119" sqref="E119"/>
    </sheetView>
  </sheetViews>
  <sheetFormatPr baseColWidth="10" defaultRowHeight="15" x14ac:dyDescent="0.25"/>
  <cols>
    <col min="1" max="2" width="10.7109375" customWidth="1"/>
    <col min="3" max="3" width="69" customWidth="1"/>
    <col min="4" max="7" width="11.7109375" customWidth="1"/>
    <col min="8" max="9" width="11.85546875" bestFit="1" customWidth="1"/>
  </cols>
  <sheetData>
    <row r="1" spans="2:7" x14ac:dyDescent="0.25">
      <c r="B1" s="45"/>
    </row>
    <row r="2" spans="2:7" ht="15.75" thickBot="1" x14ac:dyDescent="0.3">
      <c r="B2" s="154" t="s">
        <v>8</v>
      </c>
      <c r="C2" s="154"/>
      <c r="D2" s="154"/>
      <c r="E2" s="154"/>
      <c r="F2" s="154"/>
      <c r="G2" s="154"/>
    </row>
    <row r="3" spans="2:7" ht="15.75" thickBot="1" x14ac:dyDescent="0.3">
      <c r="B3" s="6" t="s">
        <v>1</v>
      </c>
      <c r="C3" s="11" t="s">
        <v>2</v>
      </c>
      <c r="D3" s="11" t="s">
        <v>268</v>
      </c>
      <c r="E3" s="6" t="s">
        <v>6</v>
      </c>
      <c r="F3" s="7" t="s">
        <v>5</v>
      </c>
      <c r="G3" s="8" t="s">
        <v>4</v>
      </c>
    </row>
    <row r="4" spans="2:7" x14ac:dyDescent="0.25">
      <c r="B4" s="56">
        <v>42004</v>
      </c>
      <c r="C4" s="57" t="s">
        <v>7</v>
      </c>
      <c r="D4" s="57"/>
      <c r="E4" s="58"/>
      <c r="F4" s="58"/>
      <c r="G4" s="39">
        <v>3799.82</v>
      </c>
    </row>
    <row r="5" spans="2:7" x14ac:dyDescent="0.25">
      <c r="B5" s="31">
        <v>42370</v>
      </c>
      <c r="C5" s="26" t="s">
        <v>13</v>
      </c>
      <c r="D5" s="26"/>
      <c r="E5" s="22"/>
      <c r="F5" s="23">
        <v>1000</v>
      </c>
      <c r="G5" s="24">
        <f>+G4+E5-F5</f>
        <v>2799.82</v>
      </c>
    </row>
    <row r="6" spans="2:7" x14ac:dyDescent="0.25">
      <c r="B6" s="31">
        <v>42371</v>
      </c>
      <c r="C6" s="26" t="s">
        <v>14</v>
      </c>
      <c r="D6" s="18"/>
      <c r="E6" s="12"/>
      <c r="F6" s="12">
        <v>750</v>
      </c>
      <c r="G6" s="24">
        <f t="shared" ref="G6:G69" si="0">+G5+E6-F6</f>
        <v>2049.8200000000002</v>
      </c>
    </row>
    <row r="7" spans="2:7" x14ac:dyDescent="0.25">
      <c r="B7" s="31">
        <v>42371</v>
      </c>
      <c r="C7" s="25" t="s">
        <v>15</v>
      </c>
      <c r="D7" s="25"/>
      <c r="E7" s="23"/>
      <c r="F7" s="23">
        <v>400</v>
      </c>
      <c r="G7" s="24">
        <f t="shared" si="0"/>
        <v>1649.8200000000002</v>
      </c>
    </row>
    <row r="8" spans="2:7" x14ac:dyDescent="0.25">
      <c r="B8" s="36">
        <v>42372</v>
      </c>
      <c r="C8" s="18" t="s">
        <v>16</v>
      </c>
      <c r="D8" s="18"/>
      <c r="E8" s="12"/>
      <c r="F8" s="9">
        <v>65</v>
      </c>
      <c r="G8" s="24">
        <f t="shared" si="0"/>
        <v>1584.8200000000002</v>
      </c>
    </row>
    <row r="9" spans="2:7" x14ac:dyDescent="0.25">
      <c r="B9" s="31">
        <v>42373</v>
      </c>
      <c r="C9" s="26" t="s">
        <v>18</v>
      </c>
      <c r="D9" s="26"/>
      <c r="E9" s="23">
        <v>28470</v>
      </c>
      <c r="F9" s="23"/>
      <c r="G9" s="24">
        <f t="shared" si="0"/>
        <v>30054.82</v>
      </c>
    </row>
    <row r="10" spans="2:7" x14ac:dyDescent="0.25">
      <c r="B10" s="31">
        <v>42373</v>
      </c>
      <c r="C10" s="25" t="s">
        <v>17</v>
      </c>
      <c r="D10" s="25"/>
      <c r="E10" s="23"/>
      <c r="F10" s="23">
        <v>110</v>
      </c>
      <c r="G10" s="24">
        <f t="shared" si="0"/>
        <v>29944.82</v>
      </c>
    </row>
    <row r="11" spans="2:7" x14ac:dyDescent="0.25">
      <c r="B11" s="36">
        <v>42373</v>
      </c>
      <c r="C11" s="25" t="s">
        <v>19</v>
      </c>
      <c r="D11" s="25"/>
      <c r="E11" s="23"/>
      <c r="F11" s="23">
        <v>450</v>
      </c>
      <c r="G11" s="24">
        <f t="shared" si="0"/>
        <v>29494.82</v>
      </c>
    </row>
    <row r="12" spans="2:7" x14ac:dyDescent="0.25">
      <c r="B12" s="36">
        <v>42373</v>
      </c>
      <c r="C12" s="25" t="s">
        <v>20</v>
      </c>
      <c r="D12" s="25"/>
      <c r="E12" s="23"/>
      <c r="F12" s="23">
        <v>1200</v>
      </c>
      <c r="G12" s="24">
        <f t="shared" si="0"/>
        <v>28294.82</v>
      </c>
    </row>
    <row r="13" spans="2:7" x14ac:dyDescent="0.25">
      <c r="B13" s="36">
        <v>42374</v>
      </c>
      <c r="C13" s="26" t="s">
        <v>21</v>
      </c>
      <c r="D13" s="26"/>
      <c r="E13" s="23"/>
      <c r="F13" s="27">
        <v>376.5</v>
      </c>
      <c r="G13" s="24">
        <f t="shared" si="0"/>
        <v>27918.32</v>
      </c>
    </row>
    <row r="14" spans="2:7" x14ac:dyDescent="0.25">
      <c r="B14" s="36">
        <v>42374</v>
      </c>
      <c r="C14" s="25" t="s">
        <v>22</v>
      </c>
      <c r="D14" s="25"/>
      <c r="E14" s="23"/>
      <c r="F14" s="23">
        <v>3</v>
      </c>
      <c r="G14" s="24">
        <f t="shared" si="0"/>
        <v>27915.32</v>
      </c>
    </row>
    <row r="15" spans="2:7" x14ac:dyDescent="0.25">
      <c r="B15" s="36">
        <v>42374</v>
      </c>
      <c r="C15" s="25" t="s">
        <v>23</v>
      </c>
      <c r="D15" s="25"/>
      <c r="E15" s="23"/>
      <c r="F15" s="23">
        <v>350</v>
      </c>
      <c r="G15" s="24">
        <f t="shared" si="0"/>
        <v>27565.32</v>
      </c>
    </row>
    <row r="16" spans="2:7" x14ac:dyDescent="0.25">
      <c r="B16" s="36">
        <v>42374</v>
      </c>
      <c r="C16" s="25" t="s">
        <v>24</v>
      </c>
      <c r="D16" s="25"/>
      <c r="E16" s="23"/>
      <c r="F16" s="23">
        <v>1500</v>
      </c>
      <c r="G16" s="24">
        <f t="shared" si="0"/>
        <v>26065.32</v>
      </c>
    </row>
    <row r="17" spans="2:8" x14ac:dyDescent="0.25">
      <c r="B17" s="36">
        <v>42375</v>
      </c>
      <c r="C17" s="25" t="s">
        <v>25</v>
      </c>
      <c r="D17" s="25"/>
      <c r="E17" s="23"/>
      <c r="F17" s="23">
        <v>1000</v>
      </c>
      <c r="G17" s="24">
        <f t="shared" si="0"/>
        <v>25065.32</v>
      </c>
    </row>
    <row r="18" spans="2:8" x14ac:dyDescent="0.25">
      <c r="B18" s="36">
        <v>42376</v>
      </c>
      <c r="C18" s="34" t="s">
        <v>26</v>
      </c>
      <c r="D18" s="34"/>
      <c r="E18" s="23"/>
      <c r="F18" s="23">
        <v>600</v>
      </c>
      <c r="G18" s="24">
        <f t="shared" si="0"/>
        <v>24465.32</v>
      </c>
    </row>
    <row r="19" spans="2:8" x14ac:dyDescent="0.25">
      <c r="B19" s="36">
        <v>42376</v>
      </c>
      <c r="C19" s="25" t="s">
        <v>27</v>
      </c>
      <c r="D19" s="25"/>
      <c r="E19" s="23"/>
      <c r="F19" s="23">
        <v>245</v>
      </c>
      <c r="G19" s="24">
        <f t="shared" si="0"/>
        <v>24220.32</v>
      </c>
    </row>
    <row r="20" spans="2:8" x14ac:dyDescent="0.25">
      <c r="B20" s="36">
        <v>42377</v>
      </c>
      <c r="C20" s="25" t="s">
        <v>28</v>
      </c>
      <c r="D20" s="25"/>
      <c r="E20" s="23">
        <v>4000</v>
      </c>
      <c r="F20" s="23"/>
      <c r="G20" s="24">
        <f t="shared" si="0"/>
        <v>28220.32</v>
      </c>
    </row>
    <row r="21" spans="2:8" x14ac:dyDescent="0.25">
      <c r="B21" s="36">
        <v>42377</v>
      </c>
      <c r="C21" s="25" t="s">
        <v>13</v>
      </c>
      <c r="D21" s="25"/>
      <c r="E21" s="23"/>
      <c r="F21" s="23">
        <v>1000</v>
      </c>
      <c r="G21" s="24">
        <f t="shared" si="0"/>
        <v>27220.32</v>
      </c>
    </row>
    <row r="22" spans="2:8" x14ac:dyDescent="0.25">
      <c r="B22" s="36">
        <v>42377</v>
      </c>
      <c r="C22" s="25" t="s">
        <v>29</v>
      </c>
      <c r="D22" s="25"/>
      <c r="E22" s="23"/>
      <c r="F22" s="23">
        <v>25</v>
      </c>
      <c r="G22" s="24">
        <f t="shared" si="0"/>
        <v>27195.32</v>
      </c>
    </row>
    <row r="23" spans="2:8" x14ac:dyDescent="0.25">
      <c r="B23" s="36">
        <v>42377</v>
      </c>
      <c r="C23" s="25" t="s">
        <v>30</v>
      </c>
      <c r="D23" s="25"/>
      <c r="E23" s="28"/>
      <c r="F23" s="23">
        <v>1200</v>
      </c>
      <c r="G23" s="24">
        <f t="shared" si="0"/>
        <v>25995.32</v>
      </c>
    </row>
    <row r="24" spans="2:8" x14ac:dyDescent="0.25">
      <c r="B24" s="36">
        <v>42377</v>
      </c>
      <c r="C24" s="25" t="s">
        <v>31</v>
      </c>
      <c r="D24" s="25"/>
      <c r="E24" s="23"/>
      <c r="F24" s="27">
        <v>500</v>
      </c>
      <c r="G24" s="24">
        <f t="shared" si="0"/>
        <v>25495.32</v>
      </c>
    </row>
    <row r="25" spans="2:8" x14ac:dyDescent="0.25">
      <c r="B25" s="72">
        <v>42380</v>
      </c>
      <c r="C25" s="25" t="s">
        <v>32</v>
      </c>
      <c r="D25" s="25"/>
      <c r="E25" s="69">
        <v>33915</v>
      </c>
      <c r="F25" s="23"/>
      <c r="G25" s="24">
        <f t="shared" si="0"/>
        <v>59410.32</v>
      </c>
    </row>
    <row r="26" spans="2:8" x14ac:dyDescent="0.25">
      <c r="B26" s="36">
        <v>42380</v>
      </c>
      <c r="C26" s="25" t="s">
        <v>38</v>
      </c>
      <c r="D26" s="25"/>
      <c r="E26" s="23"/>
      <c r="F26" s="23">
        <v>300</v>
      </c>
      <c r="G26" s="24">
        <f t="shared" si="0"/>
        <v>59110.32</v>
      </c>
    </row>
    <row r="27" spans="2:8" x14ac:dyDescent="0.25">
      <c r="B27" s="36">
        <v>42380</v>
      </c>
      <c r="C27" s="25" t="s">
        <v>39</v>
      </c>
      <c r="D27" s="25"/>
      <c r="E27" s="23"/>
      <c r="F27" s="23">
        <v>500</v>
      </c>
      <c r="G27" s="24">
        <f t="shared" si="0"/>
        <v>58610.32</v>
      </c>
    </row>
    <row r="28" spans="2:8" x14ac:dyDescent="0.25">
      <c r="B28" s="36">
        <v>42380</v>
      </c>
      <c r="C28" s="25" t="s">
        <v>40</v>
      </c>
      <c r="D28" s="25"/>
      <c r="E28" s="23"/>
      <c r="F28" s="23">
        <v>450</v>
      </c>
      <c r="G28" s="24">
        <f t="shared" si="0"/>
        <v>58160.32</v>
      </c>
    </row>
    <row r="29" spans="2:8" x14ac:dyDescent="0.25">
      <c r="B29" s="36">
        <v>42380</v>
      </c>
      <c r="C29" s="25" t="s">
        <v>41</v>
      </c>
      <c r="D29" s="25"/>
      <c r="E29" s="23"/>
      <c r="F29" s="23">
        <v>142</v>
      </c>
      <c r="G29" s="24">
        <f t="shared" si="0"/>
        <v>58018.32</v>
      </c>
      <c r="H29" s="1"/>
    </row>
    <row r="30" spans="2:8" x14ac:dyDescent="0.25">
      <c r="B30" s="36">
        <v>42381</v>
      </c>
      <c r="C30" s="25" t="s">
        <v>42</v>
      </c>
      <c r="D30" s="25"/>
      <c r="E30" s="23"/>
      <c r="F30" s="23">
        <v>1073</v>
      </c>
      <c r="G30" s="24">
        <f t="shared" si="0"/>
        <v>56945.32</v>
      </c>
    </row>
    <row r="31" spans="2:8" x14ac:dyDescent="0.25">
      <c r="B31" s="36">
        <v>42381</v>
      </c>
      <c r="C31" s="25" t="s">
        <v>43</v>
      </c>
      <c r="D31" s="25"/>
      <c r="E31" s="23"/>
      <c r="F31" s="23">
        <v>1760</v>
      </c>
      <c r="G31" s="24">
        <f t="shared" si="0"/>
        <v>55185.32</v>
      </c>
    </row>
    <row r="32" spans="2:8" x14ac:dyDescent="0.25">
      <c r="B32" s="36">
        <v>42381</v>
      </c>
      <c r="C32" s="60" t="s">
        <v>44</v>
      </c>
      <c r="D32" s="94"/>
      <c r="E32" s="23"/>
      <c r="F32" s="23">
        <v>1224</v>
      </c>
      <c r="G32" s="24">
        <f t="shared" si="0"/>
        <v>53961.32</v>
      </c>
    </row>
    <row r="33" spans="2:7" x14ac:dyDescent="0.25">
      <c r="B33" s="36">
        <v>42381</v>
      </c>
      <c r="C33" s="25" t="s">
        <v>45</v>
      </c>
      <c r="D33" s="25"/>
      <c r="E33" s="23"/>
      <c r="F33" s="23">
        <v>40.5</v>
      </c>
      <c r="G33" s="24">
        <f t="shared" si="0"/>
        <v>53920.82</v>
      </c>
    </row>
    <row r="34" spans="2:7" x14ac:dyDescent="0.25">
      <c r="B34" s="36">
        <v>42383</v>
      </c>
      <c r="C34" s="25" t="s">
        <v>13</v>
      </c>
      <c r="D34" s="25"/>
      <c r="E34" s="23"/>
      <c r="F34" s="27">
        <v>1000</v>
      </c>
      <c r="G34" s="24">
        <f t="shared" si="0"/>
        <v>52920.82</v>
      </c>
    </row>
    <row r="35" spans="2:7" x14ac:dyDescent="0.25">
      <c r="B35" s="36">
        <v>42384</v>
      </c>
      <c r="C35" s="25" t="s">
        <v>46</v>
      </c>
      <c r="D35" s="25"/>
      <c r="E35" s="23"/>
      <c r="F35" s="27">
        <v>90</v>
      </c>
      <c r="G35" s="24">
        <f t="shared" si="0"/>
        <v>52830.82</v>
      </c>
    </row>
    <row r="36" spans="2:7" x14ac:dyDescent="0.25">
      <c r="B36" s="36">
        <v>16</v>
      </c>
      <c r="C36" s="25" t="s">
        <v>16</v>
      </c>
      <c r="D36" s="25"/>
      <c r="E36" s="23"/>
      <c r="F36" s="23">
        <v>74.5</v>
      </c>
      <c r="G36" s="24">
        <f t="shared" si="0"/>
        <v>52756.32</v>
      </c>
    </row>
    <row r="37" spans="2:7" x14ac:dyDescent="0.25">
      <c r="B37" s="31">
        <v>42384</v>
      </c>
      <c r="C37" s="26" t="s">
        <v>47</v>
      </c>
      <c r="D37" s="26"/>
      <c r="E37" s="23"/>
      <c r="F37" s="23">
        <v>197.4</v>
      </c>
      <c r="G37" s="24">
        <f t="shared" si="0"/>
        <v>52558.92</v>
      </c>
    </row>
    <row r="38" spans="2:7" x14ac:dyDescent="0.25">
      <c r="B38" s="36">
        <v>42384</v>
      </c>
      <c r="C38" s="25" t="s">
        <v>48</v>
      </c>
      <c r="D38" s="25"/>
      <c r="E38" s="23"/>
      <c r="F38" s="23">
        <v>110</v>
      </c>
      <c r="G38" s="24">
        <f t="shared" si="0"/>
        <v>52448.92</v>
      </c>
    </row>
    <row r="39" spans="2:7" x14ac:dyDescent="0.25">
      <c r="B39" s="36">
        <v>42384</v>
      </c>
      <c r="C39" s="25" t="s">
        <v>49</v>
      </c>
      <c r="D39" s="25"/>
      <c r="E39" s="23"/>
      <c r="F39" s="27">
        <v>450</v>
      </c>
      <c r="G39" s="24">
        <f t="shared" si="0"/>
        <v>51998.92</v>
      </c>
    </row>
    <row r="40" spans="2:7" x14ac:dyDescent="0.25">
      <c r="B40" s="36">
        <v>42384</v>
      </c>
      <c r="C40" s="25" t="s">
        <v>51</v>
      </c>
      <c r="D40" s="25"/>
      <c r="E40" s="23"/>
      <c r="F40" s="27">
        <v>3200</v>
      </c>
      <c r="G40" s="24">
        <f t="shared" si="0"/>
        <v>48798.92</v>
      </c>
    </row>
    <row r="41" spans="2:7" x14ac:dyDescent="0.25">
      <c r="B41" s="36">
        <v>42384</v>
      </c>
      <c r="C41" s="25" t="s">
        <v>50</v>
      </c>
      <c r="D41" s="25"/>
      <c r="E41" s="23"/>
      <c r="F41" s="27">
        <v>29000</v>
      </c>
      <c r="G41" s="24">
        <f t="shared" si="0"/>
        <v>19798.919999999998</v>
      </c>
    </row>
    <row r="42" spans="2:7" x14ac:dyDescent="0.25">
      <c r="B42" s="36">
        <v>42384</v>
      </c>
      <c r="C42" s="25" t="s">
        <v>52</v>
      </c>
      <c r="D42" s="25"/>
      <c r="E42" s="23"/>
      <c r="F42" s="27">
        <v>4000</v>
      </c>
      <c r="G42" s="24">
        <f t="shared" si="0"/>
        <v>15798.919999999998</v>
      </c>
    </row>
    <row r="43" spans="2:7" x14ac:dyDescent="0.25">
      <c r="B43" s="36">
        <v>42386</v>
      </c>
      <c r="C43" s="25" t="s">
        <v>53</v>
      </c>
      <c r="D43" s="25"/>
      <c r="E43" s="23">
        <v>44170</v>
      </c>
      <c r="F43" s="27"/>
      <c r="G43" s="24">
        <f t="shared" si="0"/>
        <v>59968.92</v>
      </c>
    </row>
    <row r="44" spans="2:7" x14ac:dyDescent="0.25">
      <c r="B44" s="65">
        <v>42386</v>
      </c>
      <c r="C44" s="62" t="s">
        <v>54</v>
      </c>
      <c r="D44" s="62"/>
      <c r="E44" s="23"/>
      <c r="F44" s="27">
        <v>350</v>
      </c>
      <c r="G44" s="24">
        <f t="shared" si="0"/>
        <v>59618.92</v>
      </c>
    </row>
    <row r="45" spans="2:7" x14ac:dyDescent="0.25">
      <c r="B45" s="65">
        <v>42386</v>
      </c>
      <c r="C45" s="62" t="s">
        <v>55</v>
      </c>
      <c r="D45" s="62"/>
      <c r="E45" s="23"/>
      <c r="F45" s="27">
        <v>288.2</v>
      </c>
      <c r="G45" s="24">
        <f t="shared" si="0"/>
        <v>59330.720000000001</v>
      </c>
    </row>
    <row r="46" spans="2:7" x14ac:dyDescent="0.25">
      <c r="B46" s="65">
        <v>42387</v>
      </c>
      <c r="C46" s="62" t="s">
        <v>56</v>
      </c>
      <c r="D46" s="62"/>
      <c r="E46" s="23"/>
      <c r="F46" s="27">
        <v>180</v>
      </c>
      <c r="G46" s="24">
        <f t="shared" si="0"/>
        <v>59150.720000000001</v>
      </c>
    </row>
    <row r="47" spans="2:7" x14ac:dyDescent="0.25">
      <c r="B47" s="67">
        <v>42387</v>
      </c>
      <c r="C47" s="62" t="s">
        <v>57</v>
      </c>
      <c r="D47" s="62"/>
      <c r="E47" s="23"/>
      <c r="F47" s="27">
        <v>26</v>
      </c>
      <c r="G47" s="24">
        <f t="shared" si="0"/>
        <v>59124.72</v>
      </c>
    </row>
    <row r="48" spans="2:7" x14ac:dyDescent="0.25">
      <c r="B48" s="65">
        <v>42387</v>
      </c>
      <c r="C48" s="62" t="s">
        <v>57</v>
      </c>
      <c r="D48" s="62"/>
      <c r="E48" s="23"/>
      <c r="F48" s="27">
        <v>45.5</v>
      </c>
      <c r="G48" s="24">
        <f t="shared" si="0"/>
        <v>59079.22</v>
      </c>
    </row>
    <row r="49" spans="2:7" x14ac:dyDescent="0.25">
      <c r="B49" s="65">
        <v>42388</v>
      </c>
      <c r="C49" s="62" t="s">
        <v>58</v>
      </c>
      <c r="D49" s="62"/>
      <c r="E49" s="23"/>
      <c r="F49" s="27">
        <v>263.2</v>
      </c>
      <c r="G49" s="24">
        <f t="shared" si="0"/>
        <v>58816.020000000004</v>
      </c>
    </row>
    <row r="50" spans="2:7" x14ac:dyDescent="0.25">
      <c r="B50" s="65">
        <v>42388</v>
      </c>
      <c r="C50" s="63" t="s">
        <v>59</v>
      </c>
      <c r="D50" s="63"/>
      <c r="E50" s="23"/>
      <c r="F50" s="27">
        <v>41.5</v>
      </c>
      <c r="G50" s="24">
        <f t="shared" si="0"/>
        <v>58774.520000000004</v>
      </c>
    </row>
    <row r="51" spans="2:7" x14ac:dyDescent="0.25">
      <c r="B51" s="67">
        <v>42388</v>
      </c>
      <c r="C51" s="62" t="s">
        <v>60</v>
      </c>
      <c r="D51" s="62"/>
      <c r="E51" s="23"/>
      <c r="F51" s="27">
        <v>20</v>
      </c>
      <c r="G51" s="24">
        <f t="shared" si="0"/>
        <v>58754.520000000004</v>
      </c>
    </row>
    <row r="52" spans="2:7" x14ac:dyDescent="0.25">
      <c r="B52" s="65">
        <v>42389</v>
      </c>
      <c r="C52" s="62" t="s">
        <v>61</v>
      </c>
      <c r="D52" s="62"/>
      <c r="E52" s="23"/>
      <c r="F52" s="27">
        <v>345</v>
      </c>
      <c r="G52" s="24">
        <f t="shared" si="0"/>
        <v>58409.520000000004</v>
      </c>
    </row>
    <row r="53" spans="2:7" x14ac:dyDescent="0.25">
      <c r="B53" s="67">
        <v>42390</v>
      </c>
      <c r="C53" s="62" t="s">
        <v>62</v>
      </c>
      <c r="D53" s="62"/>
      <c r="E53" s="23"/>
      <c r="F53" s="27">
        <v>700</v>
      </c>
      <c r="G53" s="24">
        <f t="shared" si="0"/>
        <v>57709.520000000004</v>
      </c>
    </row>
    <row r="54" spans="2:7" x14ac:dyDescent="0.25">
      <c r="B54" s="65">
        <v>42390</v>
      </c>
      <c r="C54" s="62" t="s">
        <v>63</v>
      </c>
      <c r="D54" s="62"/>
      <c r="E54" s="23"/>
      <c r="F54" s="27">
        <v>100</v>
      </c>
      <c r="G54" s="24">
        <f t="shared" si="0"/>
        <v>57609.520000000004</v>
      </c>
    </row>
    <row r="55" spans="2:7" x14ac:dyDescent="0.25">
      <c r="B55" s="65">
        <v>42391</v>
      </c>
      <c r="C55" s="62" t="s">
        <v>64</v>
      </c>
      <c r="D55" s="62"/>
      <c r="E55" s="23"/>
      <c r="F55" s="27">
        <v>127.6</v>
      </c>
      <c r="G55" s="24">
        <f t="shared" si="0"/>
        <v>57481.920000000006</v>
      </c>
    </row>
    <row r="56" spans="2:7" x14ac:dyDescent="0.25">
      <c r="B56" s="65">
        <v>42391</v>
      </c>
      <c r="C56" s="62" t="s">
        <v>65</v>
      </c>
      <c r="D56" s="62"/>
      <c r="E56" s="23"/>
      <c r="F56" s="27">
        <v>60</v>
      </c>
      <c r="G56" s="24">
        <f t="shared" si="0"/>
        <v>57421.920000000006</v>
      </c>
    </row>
    <row r="57" spans="2:7" x14ac:dyDescent="0.25">
      <c r="B57" s="65">
        <v>42391</v>
      </c>
      <c r="C57" s="62" t="s">
        <v>66</v>
      </c>
      <c r="D57" s="62"/>
      <c r="E57" s="23"/>
      <c r="F57" s="27">
        <v>1204</v>
      </c>
      <c r="G57" s="24">
        <f t="shared" si="0"/>
        <v>56217.920000000006</v>
      </c>
    </row>
    <row r="58" spans="2:7" x14ac:dyDescent="0.25">
      <c r="B58" s="65">
        <v>42391</v>
      </c>
      <c r="C58" s="62" t="s">
        <v>67</v>
      </c>
      <c r="D58" s="62"/>
      <c r="E58" s="23"/>
      <c r="F58" s="27">
        <v>7</v>
      </c>
      <c r="G58" s="24">
        <f t="shared" si="0"/>
        <v>56210.920000000006</v>
      </c>
    </row>
    <row r="59" spans="2:7" x14ac:dyDescent="0.25">
      <c r="B59" s="65">
        <v>42391</v>
      </c>
      <c r="C59" s="62" t="s">
        <v>13</v>
      </c>
      <c r="D59" s="62"/>
      <c r="E59" s="23"/>
      <c r="F59" s="27">
        <v>1000</v>
      </c>
      <c r="G59" s="24">
        <f t="shared" si="0"/>
        <v>55210.920000000006</v>
      </c>
    </row>
    <row r="60" spans="2:7" x14ac:dyDescent="0.25">
      <c r="B60" s="65">
        <v>42391</v>
      </c>
      <c r="C60" s="62" t="s">
        <v>69</v>
      </c>
      <c r="D60" s="62"/>
      <c r="E60" s="23"/>
      <c r="F60" s="27">
        <v>320</v>
      </c>
      <c r="G60" s="24">
        <f t="shared" si="0"/>
        <v>54890.920000000006</v>
      </c>
    </row>
    <row r="61" spans="2:7" x14ac:dyDescent="0.25">
      <c r="B61" s="65">
        <v>42391</v>
      </c>
      <c r="C61" s="62" t="s">
        <v>68</v>
      </c>
      <c r="D61" s="62"/>
      <c r="E61" s="23"/>
      <c r="F61" s="27">
        <v>40</v>
      </c>
      <c r="G61" s="24">
        <f t="shared" si="0"/>
        <v>54850.920000000006</v>
      </c>
    </row>
    <row r="62" spans="2:7" x14ac:dyDescent="0.25">
      <c r="B62" s="67">
        <v>42391</v>
      </c>
      <c r="C62" s="62" t="s">
        <v>70</v>
      </c>
      <c r="D62" s="62"/>
      <c r="E62" s="23"/>
      <c r="F62" s="27">
        <v>175</v>
      </c>
      <c r="G62" s="24">
        <f t="shared" si="0"/>
        <v>54675.920000000006</v>
      </c>
    </row>
    <row r="63" spans="2:7" x14ac:dyDescent="0.25">
      <c r="B63" s="65">
        <v>42391</v>
      </c>
      <c r="C63" s="62" t="s">
        <v>71</v>
      </c>
      <c r="D63" s="62"/>
      <c r="E63" s="23"/>
      <c r="F63" s="23">
        <v>407.53</v>
      </c>
      <c r="G63" s="24">
        <f t="shared" si="0"/>
        <v>54268.390000000007</v>
      </c>
    </row>
    <row r="64" spans="2:7" x14ac:dyDescent="0.25">
      <c r="B64" s="65">
        <v>42391</v>
      </c>
      <c r="C64" s="62" t="s">
        <v>72</v>
      </c>
      <c r="D64" s="62"/>
      <c r="E64" s="23"/>
      <c r="F64" s="23">
        <v>15</v>
      </c>
      <c r="G64" s="24">
        <f t="shared" si="0"/>
        <v>54253.390000000007</v>
      </c>
    </row>
    <row r="65" spans="2:7" x14ac:dyDescent="0.25">
      <c r="B65" s="67">
        <v>42392</v>
      </c>
      <c r="C65" s="62" t="s">
        <v>73</v>
      </c>
      <c r="D65" s="62"/>
      <c r="E65" s="23"/>
      <c r="F65" s="27">
        <v>230</v>
      </c>
      <c r="G65" s="24">
        <f t="shared" si="0"/>
        <v>54023.390000000007</v>
      </c>
    </row>
    <row r="66" spans="2:7" x14ac:dyDescent="0.25">
      <c r="B66" s="67">
        <v>42392</v>
      </c>
      <c r="C66" s="62" t="s">
        <v>74</v>
      </c>
      <c r="D66" s="62"/>
      <c r="E66" s="23"/>
      <c r="F66" s="27">
        <v>120</v>
      </c>
      <c r="G66" s="24">
        <f t="shared" si="0"/>
        <v>53903.390000000007</v>
      </c>
    </row>
    <row r="67" spans="2:7" x14ac:dyDescent="0.25">
      <c r="B67" s="67">
        <v>42392</v>
      </c>
      <c r="C67" s="63" t="s">
        <v>75</v>
      </c>
      <c r="D67" s="63"/>
      <c r="E67" s="23"/>
      <c r="F67" s="27">
        <v>100</v>
      </c>
      <c r="G67" s="24">
        <f t="shared" si="0"/>
        <v>53803.390000000007</v>
      </c>
    </row>
    <row r="68" spans="2:7" x14ac:dyDescent="0.25">
      <c r="B68" s="65">
        <v>42392</v>
      </c>
      <c r="C68" s="62" t="s">
        <v>76</v>
      </c>
      <c r="D68" s="62"/>
      <c r="E68" s="23"/>
      <c r="F68" s="27">
        <v>750</v>
      </c>
      <c r="G68" s="24">
        <f t="shared" si="0"/>
        <v>53053.390000000007</v>
      </c>
    </row>
    <row r="69" spans="2:7" x14ac:dyDescent="0.25">
      <c r="B69" s="67">
        <v>42393</v>
      </c>
      <c r="C69" s="62" t="s">
        <v>77</v>
      </c>
      <c r="D69" s="62"/>
      <c r="E69" s="23"/>
      <c r="F69" s="27">
        <v>500</v>
      </c>
      <c r="G69" s="24">
        <f t="shared" si="0"/>
        <v>52553.390000000007</v>
      </c>
    </row>
    <row r="70" spans="2:7" x14ac:dyDescent="0.25">
      <c r="B70" s="67">
        <v>42394</v>
      </c>
      <c r="C70" s="62" t="s">
        <v>80</v>
      </c>
      <c r="D70" s="62"/>
      <c r="E70" s="23">
        <v>41010</v>
      </c>
      <c r="F70" s="27"/>
      <c r="G70" s="24">
        <f t="shared" ref="G70:G101" si="1">+G69+E70-F70</f>
        <v>93563.390000000014</v>
      </c>
    </row>
    <row r="71" spans="2:7" x14ac:dyDescent="0.25">
      <c r="B71" s="67">
        <v>42394</v>
      </c>
      <c r="C71" s="62" t="s">
        <v>78</v>
      </c>
      <c r="D71" s="62"/>
      <c r="E71" s="23"/>
      <c r="F71" s="27">
        <v>19.8</v>
      </c>
      <c r="G71" s="24">
        <f t="shared" si="1"/>
        <v>93543.590000000011</v>
      </c>
    </row>
    <row r="72" spans="2:7" x14ac:dyDescent="0.25">
      <c r="B72" s="67">
        <v>42394</v>
      </c>
      <c r="C72" s="62" t="s">
        <v>79</v>
      </c>
      <c r="D72" s="62"/>
      <c r="E72" s="23"/>
      <c r="F72" s="27">
        <v>72</v>
      </c>
      <c r="G72" s="24">
        <f t="shared" si="1"/>
        <v>93471.590000000011</v>
      </c>
    </row>
    <row r="73" spans="2:7" x14ac:dyDescent="0.25">
      <c r="B73" s="64">
        <v>42394</v>
      </c>
      <c r="C73" s="63" t="s">
        <v>17</v>
      </c>
      <c r="D73" s="63"/>
      <c r="E73" s="23"/>
      <c r="F73" s="27">
        <v>110</v>
      </c>
      <c r="G73" s="24">
        <f t="shared" si="1"/>
        <v>93361.590000000011</v>
      </c>
    </row>
    <row r="74" spans="2:7" x14ac:dyDescent="0.25">
      <c r="B74" s="66">
        <v>42394</v>
      </c>
      <c r="C74" s="63" t="s">
        <v>81</v>
      </c>
      <c r="D74" s="63"/>
      <c r="E74" s="23"/>
      <c r="F74" s="27">
        <v>2750</v>
      </c>
      <c r="G74" s="24">
        <f t="shared" si="1"/>
        <v>90611.590000000011</v>
      </c>
    </row>
    <row r="75" spans="2:7" x14ac:dyDescent="0.25">
      <c r="B75" s="67">
        <v>42394</v>
      </c>
      <c r="C75" s="63" t="s">
        <v>82</v>
      </c>
      <c r="D75" s="63"/>
      <c r="E75" s="23"/>
      <c r="F75" s="27">
        <v>500</v>
      </c>
      <c r="G75" s="24">
        <f t="shared" si="1"/>
        <v>90111.590000000011</v>
      </c>
    </row>
    <row r="76" spans="2:7" x14ac:dyDescent="0.25">
      <c r="B76" s="67">
        <v>42394</v>
      </c>
      <c r="C76" s="61" t="s">
        <v>83</v>
      </c>
      <c r="D76" s="94"/>
      <c r="E76" s="23"/>
      <c r="F76" s="27">
        <v>550</v>
      </c>
      <c r="G76" s="24">
        <f t="shared" si="1"/>
        <v>89561.590000000011</v>
      </c>
    </row>
    <row r="77" spans="2:7" x14ac:dyDescent="0.25">
      <c r="B77" s="36">
        <v>42396</v>
      </c>
      <c r="C77" s="25" t="s">
        <v>78</v>
      </c>
      <c r="D77" s="25"/>
      <c r="E77" s="23"/>
      <c r="F77" s="27">
        <v>112.8</v>
      </c>
      <c r="G77" s="24">
        <f t="shared" si="1"/>
        <v>89448.790000000008</v>
      </c>
    </row>
    <row r="78" spans="2:7" x14ac:dyDescent="0.25">
      <c r="B78" s="36">
        <v>42397</v>
      </c>
      <c r="C78" s="25" t="s">
        <v>89</v>
      </c>
      <c r="D78" s="25"/>
      <c r="E78" s="23"/>
      <c r="F78" s="27">
        <v>700</v>
      </c>
      <c r="G78" s="24">
        <f t="shared" si="1"/>
        <v>88748.790000000008</v>
      </c>
    </row>
    <row r="79" spans="2:7" x14ac:dyDescent="0.25">
      <c r="B79" s="36">
        <v>42397</v>
      </c>
      <c r="C79" s="25" t="s">
        <v>90</v>
      </c>
      <c r="D79" s="25"/>
      <c r="E79" s="23"/>
      <c r="F79" s="27">
        <v>5970</v>
      </c>
      <c r="G79" s="24">
        <f t="shared" si="1"/>
        <v>82778.790000000008</v>
      </c>
    </row>
    <row r="80" spans="2:7" x14ac:dyDescent="0.25">
      <c r="B80" s="36">
        <v>42398</v>
      </c>
      <c r="C80" s="25" t="s">
        <v>91</v>
      </c>
      <c r="D80" s="25"/>
      <c r="E80" s="23"/>
      <c r="F80" s="27">
        <v>41</v>
      </c>
      <c r="G80" s="24">
        <f t="shared" si="1"/>
        <v>82737.790000000008</v>
      </c>
    </row>
    <row r="81" spans="2:7" x14ac:dyDescent="0.25">
      <c r="B81" s="36">
        <v>42398</v>
      </c>
      <c r="C81" s="25" t="s">
        <v>92</v>
      </c>
      <c r="D81" s="25"/>
      <c r="E81" s="23"/>
      <c r="F81" s="27">
        <v>500</v>
      </c>
      <c r="G81" s="24">
        <f t="shared" si="1"/>
        <v>82237.790000000008</v>
      </c>
    </row>
    <row r="82" spans="2:7" x14ac:dyDescent="0.25">
      <c r="B82" s="36">
        <v>42398</v>
      </c>
      <c r="C82" s="25" t="s">
        <v>93</v>
      </c>
      <c r="D82" s="25"/>
      <c r="E82" s="23"/>
      <c r="F82" s="27">
        <v>5</v>
      </c>
      <c r="G82" s="24">
        <f t="shared" si="1"/>
        <v>82232.790000000008</v>
      </c>
    </row>
    <row r="83" spans="2:7" x14ac:dyDescent="0.25">
      <c r="B83" s="36">
        <v>42398</v>
      </c>
      <c r="C83" s="25" t="s">
        <v>94</v>
      </c>
      <c r="D83" s="25"/>
      <c r="E83" s="23"/>
      <c r="F83" s="27">
        <v>108.8</v>
      </c>
      <c r="G83" s="24">
        <f t="shared" si="1"/>
        <v>82123.990000000005</v>
      </c>
    </row>
    <row r="84" spans="2:7" x14ac:dyDescent="0.25">
      <c r="B84" s="36">
        <v>42398</v>
      </c>
      <c r="C84" s="25" t="s">
        <v>95</v>
      </c>
      <c r="D84" s="25"/>
      <c r="E84" s="23"/>
      <c r="F84" s="27">
        <v>350</v>
      </c>
      <c r="G84" s="24">
        <f t="shared" si="1"/>
        <v>81773.990000000005</v>
      </c>
    </row>
    <row r="85" spans="2:7" x14ac:dyDescent="0.25">
      <c r="B85" s="36">
        <v>42398</v>
      </c>
      <c r="C85" s="25" t="s">
        <v>13</v>
      </c>
      <c r="D85" s="25"/>
      <c r="E85" s="23"/>
      <c r="F85" s="27">
        <v>1000</v>
      </c>
      <c r="G85" s="24">
        <f t="shared" si="1"/>
        <v>80773.990000000005</v>
      </c>
    </row>
    <row r="86" spans="2:7" x14ac:dyDescent="0.25">
      <c r="B86" s="36">
        <v>42398</v>
      </c>
      <c r="C86" s="25" t="s">
        <v>96</v>
      </c>
      <c r="D86" s="25"/>
      <c r="E86" s="23"/>
      <c r="F86" s="27">
        <v>500</v>
      </c>
      <c r="G86" s="24">
        <f t="shared" si="1"/>
        <v>80273.990000000005</v>
      </c>
    </row>
    <row r="87" spans="2:7" x14ac:dyDescent="0.25">
      <c r="B87" s="36">
        <v>42398</v>
      </c>
      <c r="C87" s="25" t="s">
        <v>97</v>
      </c>
      <c r="D87" s="25"/>
      <c r="E87" s="23"/>
      <c r="F87" s="27">
        <v>110</v>
      </c>
      <c r="G87" s="24">
        <f t="shared" si="1"/>
        <v>80163.990000000005</v>
      </c>
    </row>
    <row r="88" spans="2:7" x14ac:dyDescent="0.25">
      <c r="B88" s="36">
        <v>42398</v>
      </c>
      <c r="C88" s="25" t="s">
        <v>98</v>
      </c>
      <c r="D88" s="25"/>
      <c r="E88" s="23"/>
      <c r="F88" s="27">
        <v>680</v>
      </c>
      <c r="G88" s="24">
        <f t="shared" si="1"/>
        <v>79483.990000000005</v>
      </c>
    </row>
    <row r="89" spans="2:7" x14ac:dyDescent="0.25">
      <c r="B89" s="36">
        <v>42398</v>
      </c>
      <c r="C89" s="25" t="s">
        <v>99</v>
      </c>
      <c r="D89" s="25"/>
      <c r="E89" s="23"/>
      <c r="F89" s="27">
        <v>250</v>
      </c>
      <c r="G89" s="24">
        <f t="shared" si="1"/>
        <v>79233.990000000005</v>
      </c>
    </row>
    <row r="90" spans="2:7" x14ac:dyDescent="0.25">
      <c r="B90" s="36">
        <v>42398</v>
      </c>
      <c r="C90" s="25" t="s">
        <v>99</v>
      </c>
      <c r="D90" s="25"/>
      <c r="E90" s="23"/>
      <c r="F90" s="27">
        <v>100</v>
      </c>
      <c r="G90" s="24">
        <f t="shared" si="1"/>
        <v>79133.990000000005</v>
      </c>
    </row>
    <row r="91" spans="2:7" x14ac:dyDescent="0.25">
      <c r="B91" s="36">
        <v>42399</v>
      </c>
      <c r="C91" s="25" t="s">
        <v>100</v>
      </c>
      <c r="D91" s="25"/>
      <c r="E91" s="23"/>
      <c r="F91" s="27">
        <v>160</v>
      </c>
      <c r="G91" s="24">
        <f t="shared" si="1"/>
        <v>78973.990000000005</v>
      </c>
    </row>
    <row r="92" spans="2:7" x14ac:dyDescent="0.25">
      <c r="B92" s="36">
        <v>42399</v>
      </c>
      <c r="C92" s="25" t="s">
        <v>101</v>
      </c>
      <c r="D92" s="25"/>
      <c r="E92" s="23"/>
      <c r="F92" s="27">
        <v>35</v>
      </c>
      <c r="G92" s="24">
        <f t="shared" si="1"/>
        <v>78938.990000000005</v>
      </c>
    </row>
    <row r="93" spans="2:7" x14ac:dyDescent="0.25">
      <c r="B93" s="36">
        <v>42399</v>
      </c>
      <c r="C93" s="25" t="s">
        <v>99</v>
      </c>
      <c r="D93" s="25"/>
      <c r="E93" s="23"/>
      <c r="F93" s="27">
        <v>400</v>
      </c>
      <c r="G93" s="24">
        <f t="shared" si="1"/>
        <v>78538.990000000005</v>
      </c>
    </row>
    <row r="94" spans="2:7" x14ac:dyDescent="0.25">
      <c r="B94" s="36">
        <v>42399</v>
      </c>
      <c r="C94" s="25" t="s">
        <v>102</v>
      </c>
      <c r="D94" s="25"/>
      <c r="E94" s="23"/>
      <c r="F94" s="27">
        <v>500</v>
      </c>
      <c r="G94" s="24">
        <f t="shared" si="1"/>
        <v>78038.990000000005</v>
      </c>
    </row>
    <row r="95" spans="2:7" x14ac:dyDescent="0.25">
      <c r="B95" s="36">
        <v>42400</v>
      </c>
      <c r="C95" s="25" t="s">
        <v>103</v>
      </c>
      <c r="D95" s="25"/>
      <c r="E95" s="23"/>
      <c r="F95" s="27">
        <v>450</v>
      </c>
      <c r="G95" s="24">
        <f t="shared" si="1"/>
        <v>77588.990000000005</v>
      </c>
    </row>
    <row r="96" spans="2:7" x14ac:dyDescent="0.25">
      <c r="B96" s="36">
        <v>42400</v>
      </c>
      <c r="C96" s="25" t="s">
        <v>104</v>
      </c>
      <c r="D96" s="25"/>
      <c r="E96" s="23"/>
      <c r="F96" s="27">
        <v>100</v>
      </c>
      <c r="G96" s="24">
        <f t="shared" si="1"/>
        <v>77488.990000000005</v>
      </c>
    </row>
    <row r="97" spans="2:9" x14ac:dyDescent="0.25">
      <c r="B97" s="36">
        <v>42400</v>
      </c>
      <c r="C97" s="25" t="s">
        <v>105</v>
      </c>
      <c r="D97" s="25"/>
      <c r="E97" s="23"/>
      <c r="F97" s="27">
        <v>650</v>
      </c>
      <c r="G97" s="24">
        <f t="shared" si="1"/>
        <v>76838.990000000005</v>
      </c>
    </row>
    <row r="98" spans="2:9" x14ac:dyDescent="0.25">
      <c r="B98" s="36">
        <v>42400</v>
      </c>
      <c r="C98" s="25" t="s">
        <v>106</v>
      </c>
      <c r="D98" s="25"/>
      <c r="E98" s="23"/>
      <c r="F98" s="27">
        <v>100</v>
      </c>
      <c r="G98" s="24">
        <f t="shared" si="1"/>
        <v>76738.990000000005</v>
      </c>
    </row>
    <row r="99" spans="2:9" x14ac:dyDescent="0.25">
      <c r="B99" s="36">
        <v>42400</v>
      </c>
      <c r="C99" s="25" t="s">
        <v>51</v>
      </c>
      <c r="D99" s="25"/>
      <c r="E99" s="23"/>
      <c r="F99" s="27">
        <v>2700</v>
      </c>
      <c r="G99" s="24">
        <f t="shared" si="1"/>
        <v>74038.990000000005</v>
      </c>
    </row>
    <row r="100" spans="2:9" x14ac:dyDescent="0.25">
      <c r="B100" s="36">
        <v>42400</v>
      </c>
      <c r="C100" s="25" t="s">
        <v>50</v>
      </c>
      <c r="D100" s="25"/>
      <c r="E100" s="23"/>
      <c r="F100" s="27">
        <v>29000</v>
      </c>
      <c r="G100" s="24">
        <f t="shared" si="1"/>
        <v>45038.990000000005</v>
      </c>
    </row>
    <row r="101" spans="2:9" ht="15.75" thickBot="1" x14ac:dyDescent="0.3">
      <c r="B101" s="36">
        <v>42400</v>
      </c>
      <c r="C101" s="25" t="s">
        <v>52</v>
      </c>
      <c r="D101" s="25"/>
      <c r="E101" s="23"/>
      <c r="F101" s="27">
        <v>4000</v>
      </c>
      <c r="G101" s="24">
        <f t="shared" si="1"/>
        <v>41038.990000000005</v>
      </c>
    </row>
    <row r="102" spans="2:9" ht="15.75" thickBot="1" x14ac:dyDescent="0.3">
      <c r="B102" s="40"/>
      <c r="C102" s="16" t="s">
        <v>0</v>
      </c>
      <c r="D102" s="16"/>
      <c r="E102" s="14">
        <f>SUM(E4:E101)</f>
        <v>151565</v>
      </c>
      <c r="F102" s="14">
        <f>SUM(F4:F101)</f>
        <v>114325.83</v>
      </c>
      <c r="G102" s="15"/>
      <c r="H102" s="1"/>
    </row>
    <row r="103" spans="2:9" x14ac:dyDescent="0.25">
      <c r="B103" s="5"/>
      <c r="C103" s="95"/>
      <c r="D103" s="95"/>
      <c r="E103" s="53"/>
      <c r="F103" s="53"/>
      <c r="G103" s="53"/>
      <c r="H103" s="1"/>
    </row>
    <row r="104" spans="2:9" x14ac:dyDescent="0.25">
      <c r="B104" s="96">
        <v>42397</v>
      </c>
      <c r="C104" s="97" t="s">
        <v>269</v>
      </c>
      <c r="D104" s="1">
        <v>1600</v>
      </c>
      <c r="E104" s="2"/>
      <c r="F104" s="3"/>
      <c r="G104" s="1"/>
      <c r="H104" s="1"/>
    </row>
    <row r="105" spans="2:9" x14ac:dyDescent="0.25">
      <c r="B105" s="31"/>
      <c r="C105" s="22" t="s">
        <v>33</v>
      </c>
      <c r="D105" s="23"/>
      <c r="E105" s="23"/>
      <c r="F105" s="24"/>
      <c r="G105" s="54"/>
      <c r="H105" s="1">
        <v>42798.99</v>
      </c>
    </row>
    <row r="106" spans="2:9" x14ac:dyDescent="0.25">
      <c r="B106" s="31">
        <v>42360</v>
      </c>
      <c r="C106" s="21" t="s">
        <v>85</v>
      </c>
      <c r="D106" s="100">
        <v>10583.18</v>
      </c>
      <c r="E106" s="23"/>
      <c r="F106" s="24">
        <v>10583.18</v>
      </c>
      <c r="G106" s="54"/>
      <c r="H106" s="1">
        <v>61043.47</v>
      </c>
    </row>
    <row r="107" spans="2:9" x14ac:dyDescent="0.25">
      <c r="B107" s="31">
        <v>42380</v>
      </c>
      <c r="C107" s="46" t="s">
        <v>84</v>
      </c>
      <c r="D107" s="101">
        <v>1600</v>
      </c>
      <c r="E107" s="28"/>
      <c r="F107" s="24">
        <f>+F106+D107-E107</f>
        <v>12183.18</v>
      </c>
      <c r="G107" s="54"/>
      <c r="H107" s="1">
        <f>SUM(H105:H106)</f>
        <v>103842.45999999999</v>
      </c>
    </row>
    <row r="108" spans="2:9" x14ac:dyDescent="0.25">
      <c r="B108" s="72">
        <v>42380</v>
      </c>
      <c r="C108" s="46" t="s">
        <v>34</v>
      </c>
      <c r="D108" s="101">
        <v>23400</v>
      </c>
      <c r="E108" s="28"/>
      <c r="F108" s="24">
        <f>+F107+D108-E108</f>
        <v>35583.18</v>
      </c>
      <c r="G108" s="54"/>
    </row>
    <row r="109" spans="2:9" x14ac:dyDescent="0.25">
      <c r="B109" s="31">
        <v>42382</v>
      </c>
      <c r="C109" s="46" t="s">
        <v>35</v>
      </c>
      <c r="D109" s="101">
        <v>4400</v>
      </c>
      <c r="E109" s="28"/>
      <c r="F109" s="24">
        <f t="shared" ref="F109:F116" si="2">+F108+D109-E109</f>
        <v>39983.18</v>
      </c>
      <c r="G109" s="54"/>
      <c r="I109" s="1">
        <v>108923.99</v>
      </c>
    </row>
    <row r="110" spans="2:9" x14ac:dyDescent="0.25">
      <c r="B110" s="31">
        <v>42382</v>
      </c>
      <c r="C110" s="46" t="s">
        <v>36</v>
      </c>
      <c r="D110" s="101">
        <v>1500</v>
      </c>
      <c r="E110" s="28"/>
      <c r="F110" s="24">
        <f t="shared" si="2"/>
        <v>41483.18</v>
      </c>
      <c r="G110" s="54"/>
      <c r="I110" s="98" t="s">
        <v>271</v>
      </c>
    </row>
    <row r="111" spans="2:9" x14ac:dyDescent="0.25">
      <c r="B111" s="31">
        <v>42386</v>
      </c>
      <c r="C111" s="46" t="s">
        <v>37</v>
      </c>
      <c r="D111" s="28">
        <v>1200</v>
      </c>
      <c r="E111" s="28"/>
      <c r="F111" s="24">
        <f t="shared" si="2"/>
        <v>42683.18</v>
      </c>
      <c r="G111" s="54"/>
      <c r="I111" s="1">
        <v>5841.53</v>
      </c>
    </row>
    <row r="112" spans="2:9" x14ac:dyDescent="0.25">
      <c r="B112" s="31">
        <v>42386</v>
      </c>
      <c r="C112" s="46" t="s">
        <v>107</v>
      </c>
      <c r="D112" s="28">
        <v>800</v>
      </c>
      <c r="E112" s="28"/>
      <c r="F112" s="24">
        <f t="shared" si="2"/>
        <v>43483.18</v>
      </c>
      <c r="G112" s="54"/>
    </row>
    <row r="113" spans="2:9" x14ac:dyDescent="0.25">
      <c r="B113" s="31">
        <v>42397</v>
      </c>
      <c r="C113" s="46" t="s">
        <v>86</v>
      </c>
      <c r="D113" s="28">
        <v>12760</v>
      </c>
      <c r="E113" s="28"/>
      <c r="F113" s="24">
        <f t="shared" si="2"/>
        <v>56243.18</v>
      </c>
      <c r="G113" s="54"/>
      <c r="H113" s="1"/>
    </row>
    <row r="114" spans="2:9" x14ac:dyDescent="0.25">
      <c r="B114" s="31">
        <v>42415</v>
      </c>
      <c r="C114" s="46"/>
      <c r="D114" s="28">
        <v>4400</v>
      </c>
      <c r="E114" s="28"/>
      <c r="F114" s="24">
        <f t="shared" si="2"/>
        <v>60643.18</v>
      </c>
      <c r="G114" s="54"/>
    </row>
    <row r="115" spans="2:9" x14ac:dyDescent="0.25">
      <c r="B115" s="31">
        <v>42419</v>
      </c>
      <c r="C115" s="46"/>
      <c r="D115" s="28">
        <v>400.29</v>
      </c>
      <c r="E115" s="28"/>
      <c r="F115" s="24">
        <f t="shared" si="2"/>
        <v>61043.47</v>
      </c>
      <c r="G115" s="54">
        <v>103842.46</v>
      </c>
      <c r="I115" s="99">
        <v>10583.18</v>
      </c>
    </row>
    <row r="116" spans="2:9" x14ac:dyDescent="0.25">
      <c r="B116" s="31"/>
      <c r="C116" s="46"/>
      <c r="D116" s="28"/>
      <c r="E116" s="28"/>
      <c r="F116" s="24">
        <f t="shared" si="2"/>
        <v>61043.47</v>
      </c>
      <c r="G116" s="54"/>
      <c r="I116" s="99">
        <v>1600</v>
      </c>
    </row>
    <row r="117" spans="2:9" x14ac:dyDescent="0.25">
      <c r="B117" s="5"/>
      <c r="C117" s="68"/>
      <c r="D117" s="55">
        <f>SUM(D106:D116)</f>
        <v>61043.47</v>
      </c>
      <c r="E117" s="55"/>
      <c r="F117" s="51"/>
      <c r="G117" s="54"/>
      <c r="I117" s="99">
        <v>23400</v>
      </c>
    </row>
    <row r="118" spans="2:9" x14ac:dyDescent="0.25">
      <c r="B118" s="5"/>
      <c r="C118" s="68"/>
      <c r="D118" s="55"/>
      <c r="E118" s="55">
        <f>SUM(E102+D117)</f>
        <v>212608.47</v>
      </c>
      <c r="F118" s="51"/>
      <c r="G118" s="54">
        <f>SUM(E119-F119)</f>
        <v>216090</v>
      </c>
      <c r="I118" s="99">
        <v>1500</v>
      </c>
    </row>
    <row r="119" spans="2:9" x14ac:dyDescent="0.25">
      <c r="B119" s="5"/>
      <c r="C119" s="68"/>
      <c r="D119" s="55"/>
      <c r="E119" s="55">
        <v>217690</v>
      </c>
      <c r="F119" s="51">
        <v>1600</v>
      </c>
      <c r="G119" s="54"/>
      <c r="H119" s="1"/>
      <c r="I119" s="99">
        <v>4400</v>
      </c>
    </row>
    <row r="120" spans="2:9" x14ac:dyDescent="0.25">
      <c r="B120" s="5"/>
      <c r="C120" s="68"/>
      <c r="D120" s="55" t="s">
        <v>270</v>
      </c>
      <c r="E120" s="55">
        <v>3481.53</v>
      </c>
      <c r="F120" s="51"/>
      <c r="G120" s="51"/>
      <c r="I120">
        <f>SUM(I115:I119)</f>
        <v>41483.18</v>
      </c>
    </row>
    <row r="121" spans="2:9" x14ac:dyDescent="0.25">
      <c r="B121" s="70">
        <v>42380</v>
      </c>
      <c r="C121" s="68" t="s">
        <v>87</v>
      </c>
      <c r="D121" s="68"/>
      <c r="E121" s="55"/>
      <c r="F121" s="55"/>
      <c r="G121" s="54"/>
    </row>
    <row r="122" spans="2:9" x14ac:dyDescent="0.25">
      <c r="B122" s="5" t="s">
        <v>88</v>
      </c>
      <c r="C122" s="68" t="s">
        <v>272</v>
      </c>
      <c r="D122" s="68"/>
      <c r="E122" s="55"/>
      <c r="F122" s="78"/>
      <c r="G122" s="54"/>
    </row>
    <row r="123" spans="2:9" x14ac:dyDescent="0.25">
      <c r="C123" t="s">
        <v>273</v>
      </c>
      <c r="E123" s="52"/>
      <c r="F123" s="78"/>
      <c r="G123" s="54"/>
    </row>
    <row r="124" spans="2:9" x14ac:dyDescent="0.25">
      <c r="E124" s="10"/>
      <c r="F124" s="78"/>
      <c r="G124" s="54"/>
    </row>
    <row r="125" spans="2:9" x14ac:dyDescent="0.25">
      <c r="B125" t="s">
        <v>274</v>
      </c>
      <c r="C125" t="s">
        <v>275</v>
      </c>
      <c r="E125" s="10"/>
      <c r="F125" s="78"/>
      <c r="G125" s="54"/>
    </row>
    <row r="126" spans="2:9" x14ac:dyDescent="0.25">
      <c r="C126" t="s">
        <v>276</v>
      </c>
      <c r="E126" s="10"/>
      <c r="F126" s="78"/>
      <c r="G126" s="54"/>
    </row>
    <row r="127" spans="2:9" x14ac:dyDescent="0.25">
      <c r="C127" t="s">
        <v>277</v>
      </c>
      <c r="E127" s="10"/>
      <c r="F127" s="78"/>
      <c r="G127" s="54"/>
    </row>
    <row r="128" spans="2:9" x14ac:dyDescent="0.25">
      <c r="E128" s="10"/>
      <c r="F128" s="78"/>
    </row>
    <row r="129" spans="3:3" x14ac:dyDescent="0.25">
      <c r="C129" t="s">
        <v>278</v>
      </c>
    </row>
    <row r="130" spans="3:3" x14ac:dyDescent="0.25">
      <c r="C130" t="s">
        <v>279</v>
      </c>
    </row>
    <row r="132" spans="3:3" x14ac:dyDescent="0.25">
      <c r="C132" t="s">
        <v>280</v>
      </c>
    </row>
    <row r="133" spans="3:3" x14ac:dyDescent="0.25">
      <c r="C133" t="s">
        <v>281</v>
      </c>
    </row>
    <row r="134" spans="3:3" x14ac:dyDescent="0.25">
      <c r="C134" t="s">
        <v>282</v>
      </c>
    </row>
    <row r="135" spans="3:3" x14ac:dyDescent="0.25">
      <c r="C135" s="102">
        <v>3481.53</v>
      </c>
    </row>
  </sheetData>
  <mergeCells count="1">
    <mergeCell ref="B2:G2"/>
  </mergeCells>
  <printOptions verticalCentered="1"/>
  <pageMargins left="0.70866141732283472" right="0.70866141732283472" top="0.74803149606299213" bottom="0.74803149606299213" header="0.31496062992125984" footer="0.31496062992125984"/>
  <pageSetup paperSize="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135"/>
  <sheetViews>
    <sheetView topLeftCell="A86" zoomScale="84" zoomScaleNormal="84" workbookViewId="0">
      <selection activeCell="C113" sqref="C113"/>
    </sheetView>
  </sheetViews>
  <sheetFormatPr baseColWidth="10" defaultRowHeight="15" x14ac:dyDescent="0.25"/>
  <cols>
    <col min="1" max="2" width="10.7109375" customWidth="1"/>
    <col min="3" max="3" width="69" customWidth="1"/>
    <col min="4" max="7" width="11.7109375" customWidth="1"/>
    <col min="8" max="9" width="11.85546875" bestFit="1" customWidth="1"/>
  </cols>
  <sheetData>
    <row r="1" spans="2:7" x14ac:dyDescent="0.25">
      <c r="B1" s="45"/>
    </row>
    <row r="2" spans="2:7" ht="15.75" thickBot="1" x14ac:dyDescent="0.3">
      <c r="B2" s="154" t="s">
        <v>8</v>
      </c>
      <c r="C2" s="154"/>
      <c r="D2" s="154"/>
      <c r="E2" s="154"/>
      <c r="F2" s="154"/>
      <c r="G2" s="154"/>
    </row>
    <row r="3" spans="2:7" ht="15.75" thickBot="1" x14ac:dyDescent="0.3">
      <c r="B3" s="6" t="s">
        <v>1</v>
      </c>
      <c r="C3" s="11" t="s">
        <v>2</v>
      </c>
      <c r="D3" s="11" t="s">
        <v>268</v>
      </c>
      <c r="E3" s="6" t="s">
        <v>6</v>
      </c>
      <c r="F3" s="7" t="s">
        <v>5</v>
      </c>
      <c r="G3" s="8" t="s">
        <v>4</v>
      </c>
    </row>
    <row r="4" spans="2:7" x14ac:dyDescent="0.25">
      <c r="B4" s="56">
        <v>42004</v>
      </c>
      <c r="C4" s="57" t="s">
        <v>7</v>
      </c>
      <c r="D4" s="57"/>
      <c r="E4" s="58"/>
      <c r="F4" s="58"/>
      <c r="G4" s="39">
        <v>3799.82</v>
      </c>
    </row>
    <row r="5" spans="2:7" x14ac:dyDescent="0.25">
      <c r="B5" s="31">
        <v>42370</v>
      </c>
      <c r="C5" s="26" t="s">
        <v>13</v>
      </c>
      <c r="D5" s="26"/>
      <c r="E5" s="22"/>
      <c r="F5" s="23">
        <v>1000</v>
      </c>
      <c r="G5" s="24">
        <f>+G4+E5-F5</f>
        <v>2799.82</v>
      </c>
    </row>
    <row r="6" spans="2:7" x14ac:dyDescent="0.25">
      <c r="B6" s="31">
        <v>42371</v>
      </c>
      <c r="C6" s="26" t="s">
        <v>14</v>
      </c>
      <c r="D6" s="18"/>
      <c r="E6" s="12"/>
      <c r="F6" s="12">
        <v>750</v>
      </c>
      <c r="G6" s="24">
        <f t="shared" ref="G6:G69" si="0">+G5+E6-F6</f>
        <v>2049.8200000000002</v>
      </c>
    </row>
    <row r="7" spans="2:7" x14ac:dyDescent="0.25">
      <c r="B7" s="31">
        <v>42371</v>
      </c>
      <c r="C7" s="25" t="s">
        <v>15</v>
      </c>
      <c r="D7" s="25"/>
      <c r="E7" s="23"/>
      <c r="F7" s="23">
        <v>400</v>
      </c>
      <c r="G7" s="24">
        <f t="shared" si="0"/>
        <v>1649.8200000000002</v>
      </c>
    </row>
    <row r="8" spans="2:7" x14ac:dyDescent="0.25">
      <c r="B8" s="36">
        <v>42372</v>
      </c>
      <c r="C8" s="18" t="s">
        <v>16</v>
      </c>
      <c r="D8" s="18"/>
      <c r="E8" s="12"/>
      <c r="F8" s="9">
        <v>65</v>
      </c>
      <c r="G8" s="24">
        <f t="shared" si="0"/>
        <v>1584.8200000000002</v>
      </c>
    </row>
    <row r="9" spans="2:7" x14ac:dyDescent="0.25">
      <c r="B9" s="31">
        <v>42373</v>
      </c>
      <c r="C9" s="26" t="s">
        <v>18</v>
      </c>
      <c r="D9" s="26"/>
      <c r="E9" s="23">
        <v>28470</v>
      </c>
      <c r="F9" s="23"/>
      <c r="G9" s="24">
        <f t="shared" si="0"/>
        <v>30054.82</v>
      </c>
    </row>
    <row r="10" spans="2:7" x14ac:dyDescent="0.25">
      <c r="B10" s="31">
        <v>42373</v>
      </c>
      <c r="C10" s="25" t="s">
        <v>17</v>
      </c>
      <c r="D10" s="25"/>
      <c r="E10" s="23"/>
      <c r="F10" s="23">
        <v>110</v>
      </c>
      <c r="G10" s="24">
        <f t="shared" si="0"/>
        <v>29944.82</v>
      </c>
    </row>
    <row r="11" spans="2:7" x14ac:dyDescent="0.25">
      <c r="B11" s="36">
        <v>42373</v>
      </c>
      <c r="C11" s="25" t="s">
        <v>19</v>
      </c>
      <c r="D11" s="25"/>
      <c r="E11" s="23"/>
      <c r="F11" s="23">
        <v>450</v>
      </c>
      <c r="G11" s="24">
        <f t="shared" si="0"/>
        <v>29494.82</v>
      </c>
    </row>
    <row r="12" spans="2:7" x14ac:dyDescent="0.25">
      <c r="B12" s="36">
        <v>42373</v>
      </c>
      <c r="C12" s="25" t="s">
        <v>20</v>
      </c>
      <c r="D12" s="25"/>
      <c r="E12" s="23"/>
      <c r="F12" s="23">
        <v>1200</v>
      </c>
      <c r="G12" s="24">
        <f t="shared" si="0"/>
        <v>28294.82</v>
      </c>
    </row>
    <row r="13" spans="2:7" x14ac:dyDescent="0.25">
      <c r="B13" s="36">
        <v>42374</v>
      </c>
      <c r="C13" s="26" t="s">
        <v>21</v>
      </c>
      <c r="D13" s="26"/>
      <c r="E13" s="23"/>
      <c r="F13" s="27">
        <v>376.5</v>
      </c>
      <c r="G13" s="24">
        <f t="shared" si="0"/>
        <v>27918.32</v>
      </c>
    </row>
    <row r="14" spans="2:7" x14ac:dyDescent="0.25">
      <c r="B14" s="36">
        <v>42374</v>
      </c>
      <c r="C14" s="25" t="s">
        <v>22</v>
      </c>
      <c r="D14" s="25"/>
      <c r="E14" s="23"/>
      <c r="F14" s="23">
        <v>3</v>
      </c>
      <c r="G14" s="24">
        <f t="shared" si="0"/>
        <v>27915.32</v>
      </c>
    </row>
    <row r="15" spans="2:7" x14ac:dyDescent="0.25">
      <c r="B15" s="36">
        <v>42374</v>
      </c>
      <c r="C15" s="25" t="s">
        <v>23</v>
      </c>
      <c r="D15" s="25"/>
      <c r="E15" s="23"/>
      <c r="F15" s="23">
        <v>350</v>
      </c>
      <c r="G15" s="24">
        <f t="shared" si="0"/>
        <v>27565.32</v>
      </c>
    </row>
    <row r="16" spans="2:7" x14ac:dyDescent="0.25">
      <c r="B16" s="36">
        <v>42374</v>
      </c>
      <c r="C16" s="25" t="s">
        <v>24</v>
      </c>
      <c r="D16" s="25"/>
      <c r="E16" s="23"/>
      <c r="F16" s="23">
        <v>1500</v>
      </c>
      <c r="G16" s="24">
        <f t="shared" si="0"/>
        <v>26065.32</v>
      </c>
    </row>
    <row r="17" spans="2:8" x14ac:dyDescent="0.25">
      <c r="B17" s="36">
        <v>42375</v>
      </c>
      <c r="C17" s="25" t="s">
        <v>25</v>
      </c>
      <c r="D17" s="25"/>
      <c r="E17" s="23"/>
      <c r="F17" s="23">
        <v>1000</v>
      </c>
      <c r="G17" s="24">
        <f t="shared" si="0"/>
        <v>25065.32</v>
      </c>
    </row>
    <row r="18" spans="2:8" x14ac:dyDescent="0.25">
      <c r="B18" s="36">
        <v>42376</v>
      </c>
      <c r="C18" s="34" t="s">
        <v>26</v>
      </c>
      <c r="D18" s="34"/>
      <c r="E18" s="23"/>
      <c r="F18" s="23">
        <v>600</v>
      </c>
      <c r="G18" s="24">
        <f t="shared" si="0"/>
        <v>24465.32</v>
      </c>
    </row>
    <row r="19" spans="2:8" x14ac:dyDescent="0.25">
      <c r="B19" s="36">
        <v>42376</v>
      </c>
      <c r="C19" s="25" t="s">
        <v>27</v>
      </c>
      <c r="D19" s="25"/>
      <c r="E19" s="23"/>
      <c r="F19" s="23">
        <v>245</v>
      </c>
      <c r="G19" s="24">
        <f t="shared" si="0"/>
        <v>24220.32</v>
      </c>
    </row>
    <row r="20" spans="2:8" x14ac:dyDescent="0.25">
      <c r="B20" s="36">
        <v>42377</v>
      </c>
      <c r="C20" s="25" t="s">
        <v>28</v>
      </c>
      <c r="D20" s="25"/>
      <c r="E20" s="23">
        <v>4000</v>
      </c>
      <c r="F20" s="23"/>
      <c r="G20" s="24">
        <f t="shared" si="0"/>
        <v>28220.32</v>
      </c>
    </row>
    <row r="21" spans="2:8" x14ac:dyDescent="0.25">
      <c r="B21" s="36">
        <v>42377</v>
      </c>
      <c r="C21" s="25" t="s">
        <v>13</v>
      </c>
      <c r="D21" s="25"/>
      <c r="E21" s="23"/>
      <c r="F21" s="23">
        <v>1000</v>
      </c>
      <c r="G21" s="24">
        <f t="shared" si="0"/>
        <v>27220.32</v>
      </c>
    </row>
    <row r="22" spans="2:8" x14ac:dyDescent="0.25">
      <c r="B22" s="36">
        <v>42377</v>
      </c>
      <c r="C22" s="25" t="s">
        <v>29</v>
      </c>
      <c r="D22" s="25"/>
      <c r="E22" s="23"/>
      <c r="F22" s="23">
        <v>25</v>
      </c>
      <c r="G22" s="24">
        <f t="shared" si="0"/>
        <v>27195.32</v>
      </c>
    </row>
    <row r="23" spans="2:8" x14ac:dyDescent="0.25">
      <c r="B23" s="36">
        <v>42377</v>
      </c>
      <c r="C23" s="25" t="s">
        <v>30</v>
      </c>
      <c r="D23" s="25"/>
      <c r="E23" s="28"/>
      <c r="F23" s="23">
        <v>1200</v>
      </c>
      <c r="G23" s="24">
        <f t="shared" si="0"/>
        <v>25995.32</v>
      </c>
    </row>
    <row r="24" spans="2:8" x14ac:dyDescent="0.25">
      <c r="B24" s="36">
        <v>42377</v>
      </c>
      <c r="C24" s="25" t="s">
        <v>31</v>
      </c>
      <c r="D24" s="25"/>
      <c r="E24" s="23"/>
      <c r="F24" s="27">
        <v>500</v>
      </c>
      <c r="G24" s="24">
        <f t="shared" si="0"/>
        <v>25495.32</v>
      </c>
    </row>
    <row r="25" spans="2:8" x14ac:dyDescent="0.25">
      <c r="B25" s="72">
        <v>42380</v>
      </c>
      <c r="C25" s="25" t="s">
        <v>32</v>
      </c>
      <c r="D25" s="25"/>
      <c r="E25" s="69">
        <v>33915</v>
      </c>
      <c r="F25" s="23"/>
      <c r="G25" s="24">
        <f t="shared" si="0"/>
        <v>59410.32</v>
      </c>
    </row>
    <row r="26" spans="2:8" x14ac:dyDescent="0.25">
      <c r="B26" s="36">
        <v>42380</v>
      </c>
      <c r="C26" s="25" t="s">
        <v>38</v>
      </c>
      <c r="D26" s="25"/>
      <c r="E26" s="23"/>
      <c r="F26" s="23">
        <v>300</v>
      </c>
      <c r="G26" s="24">
        <f t="shared" si="0"/>
        <v>59110.32</v>
      </c>
    </row>
    <row r="27" spans="2:8" x14ac:dyDescent="0.25">
      <c r="B27" s="36">
        <v>42380</v>
      </c>
      <c r="C27" s="25" t="s">
        <v>39</v>
      </c>
      <c r="D27" s="25"/>
      <c r="E27" s="23"/>
      <c r="F27" s="23">
        <v>500</v>
      </c>
      <c r="G27" s="24">
        <f t="shared" si="0"/>
        <v>58610.32</v>
      </c>
    </row>
    <row r="28" spans="2:8" x14ac:dyDescent="0.25">
      <c r="B28" s="36">
        <v>42380</v>
      </c>
      <c r="C28" s="25" t="s">
        <v>40</v>
      </c>
      <c r="D28" s="25"/>
      <c r="E28" s="23"/>
      <c r="F28" s="23">
        <v>450</v>
      </c>
      <c r="G28" s="24">
        <f t="shared" si="0"/>
        <v>58160.32</v>
      </c>
    </row>
    <row r="29" spans="2:8" x14ac:dyDescent="0.25">
      <c r="B29" s="36">
        <v>42380</v>
      </c>
      <c r="C29" s="25" t="s">
        <v>41</v>
      </c>
      <c r="D29" s="25"/>
      <c r="E29" s="23"/>
      <c r="F29" s="23">
        <v>142</v>
      </c>
      <c r="G29" s="24">
        <f t="shared" si="0"/>
        <v>58018.32</v>
      </c>
      <c r="H29" s="1"/>
    </row>
    <row r="30" spans="2:8" x14ac:dyDescent="0.25">
      <c r="B30" s="36">
        <v>42381</v>
      </c>
      <c r="C30" s="25" t="s">
        <v>42</v>
      </c>
      <c r="D30" s="25"/>
      <c r="E30" s="23"/>
      <c r="F30" s="23">
        <v>1073</v>
      </c>
      <c r="G30" s="24">
        <f t="shared" si="0"/>
        <v>56945.32</v>
      </c>
    </row>
    <row r="31" spans="2:8" x14ac:dyDescent="0.25">
      <c r="B31" s="36">
        <v>42381</v>
      </c>
      <c r="C31" s="146" t="s">
        <v>1119</v>
      </c>
      <c r="D31" s="146"/>
      <c r="E31" s="69"/>
      <c r="F31" s="69">
        <v>1760</v>
      </c>
      <c r="G31" s="24">
        <f t="shared" si="0"/>
        <v>55185.32</v>
      </c>
    </row>
    <row r="32" spans="2:8" x14ac:dyDescent="0.25">
      <c r="B32" s="36">
        <v>42381</v>
      </c>
      <c r="C32" s="60" t="s">
        <v>44</v>
      </c>
      <c r="D32" s="94"/>
      <c r="E32" s="23"/>
      <c r="F32" s="23">
        <v>1224</v>
      </c>
      <c r="G32" s="24">
        <f t="shared" si="0"/>
        <v>53961.32</v>
      </c>
    </row>
    <row r="33" spans="2:7" x14ac:dyDescent="0.25">
      <c r="B33" s="36">
        <v>42381</v>
      </c>
      <c r="C33" s="25" t="s">
        <v>45</v>
      </c>
      <c r="D33" s="25"/>
      <c r="E33" s="23"/>
      <c r="F33" s="23">
        <v>40.5</v>
      </c>
      <c r="G33" s="24">
        <f t="shared" si="0"/>
        <v>53920.82</v>
      </c>
    </row>
    <row r="34" spans="2:7" x14ac:dyDescent="0.25">
      <c r="B34" s="36">
        <v>42383</v>
      </c>
      <c r="C34" s="25" t="s">
        <v>13</v>
      </c>
      <c r="D34" s="25"/>
      <c r="E34" s="23"/>
      <c r="F34" s="27">
        <v>1000</v>
      </c>
      <c r="G34" s="24">
        <f t="shared" si="0"/>
        <v>52920.82</v>
      </c>
    </row>
    <row r="35" spans="2:7" x14ac:dyDescent="0.25">
      <c r="B35" s="36">
        <v>42384</v>
      </c>
      <c r="C35" s="25" t="s">
        <v>46</v>
      </c>
      <c r="D35" s="25"/>
      <c r="E35" s="23"/>
      <c r="F35" s="27">
        <v>90</v>
      </c>
      <c r="G35" s="24">
        <f t="shared" si="0"/>
        <v>52830.82</v>
      </c>
    </row>
    <row r="36" spans="2:7" x14ac:dyDescent="0.25">
      <c r="B36" s="36">
        <v>16</v>
      </c>
      <c r="C36" s="25" t="s">
        <v>16</v>
      </c>
      <c r="D36" s="25"/>
      <c r="E36" s="23"/>
      <c r="F36" s="23">
        <v>74.5</v>
      </c>
      <c r="G36" s="24">
        <f t="shared" si="0"/>
        <v>52756.32</v>
      </c>
    </row>
    <row r="37" spans="2:7" x14ac:dyDescent="0.25">
      <c r="B37" s="31">
        <v>42384</v>
      </c>
      <c r="C37" s="26" t="s">
        <v>47</v>
      </c>
      <c r="D37" s="26"/>
      <c r="E37" s="23"/>
      <c r="F37" s="23">
        <v>197.4</v>
      </c>
      <c r="G37" s="24">
        <f t="shared" si="0"/>
        <v>52558.92</v>
      </c>
    </row>
    <row r="38" spans="2:7" x14ac:dyDescent="0.25">
      <c r="B38" s="36">
        <v>42384</v>
      </c>
      <c r="C38" s="25" t="s">
        <v>48</v>
      </c>
      <c r="D38" s="25"/>
      <c r="E38" s="23"/>
      <c r="F38" s="23">
        <v>110</v>
      </c>
      <c r="G38" s="24">
        <f t="shared" si="0"/>
        <v>52448.92</v>
      </c>
    </row>
    <row r="39" spans="2:7" x14ac:dyDescent="0.25">
      <c r="B39" s="36">
        <v>42384</v>
      </c>
      <c r="C39" s="25" t="s">
        <v>49</v>
      </c>
      <c r="D39" s="25"/>
      <c r="E39" s="23"/>
      <c r="F39" s="27">
        <v>450</v>
      </c>
      <c r="G39" s="24">
        <f t="shared" si="0"/>
        <v>51998.92</v>
      </c>
    </row>
    <row r="40" spans="2:7" x14ac:dyDescent="0.25">
      <c r="B40" s="36">
        <v>42384</v>
      </c>
      <c r="C40" s="25" t="s">
        <v>51</v>
      </c>
      <c r="D40" s="25"/>
      <c r="E40" s="23"/>
      <c r="F40" s="27">
        <v>3200</v>
      </c>
      <c r="G40" s="24">
        <f t="shared" si="0"/>
        <v>48798.92</v>
      </c>
    </row>
    <row r="41" spans="2:7" x14ac:dyDescent="0.25">
      <c r="B41" s="36">
        <v>42384</v>
      </c>
      <c r="C41" s="25" t="s">
        <v>50</v>
      </c>
      <c r="D41" s="25"/>
      <c r="E41" s="23"/>
      <c r="F41" s="27">
        <v>29000</v>
      </c>
      <c r="G41" s="24">
        <f t="shared" si="0"/>
        <v>19798.919999999998</v>
      </c>
    </row>
    <row r="42" spans="2:7" x14ac:dyDescent="0.25">
      <c r="B42" s="36">
        <v>42384</v>
      </c>
      <c r="C42" s="25" t="s">
        <v>52</v>
      </c>
      <c r="D42" s="25"/>
      <c r="E42" s="23"/>
      <c r="F42" s="27">
        <v>4000</v>
      </c>
      <c r="G42" s="24">
        <f t="shared" si="0"/>
        <v>15798.919999999998</v>
      </c>
    </row>
    <row r="43" spans="2:7" x14ac:dyDescent="0.25">
      <c r="B43" s="36">
        <v>42386</v>
      </c>
      <c r="C43" s="25" t="s">
        <v>53</v>
      </c>
      <c r="D43" s="25"/>
      <c r="E43" s="23">
        <v>44170</v>
      </c>
      <c r="F43" s="27"/>
      <c r="G43" s="24">
        <f t="shared" si="0"/>
        <v>59968.92</v>
      </c>
    </row>
    <row r="44" spans="2:7" x14ac:dyDescent="0.25">
      <c r="B44" s="65">
        <v>42386</v>
      </c>
      <c r="C44" s="62" t="s">
        <v>54</v>
      </c>
      <c r="D44" s="62"/>
      <c r="E44" s="23"/>
      <c r="F44" s="27">
        <v>350</v>
      </c>
      <c r="G44" s="24">
        <f t="shared" si="0"/>
        <v>59618.92</v>
      </c>
    </row>
    <row r="45" spans="2:7" x14ac:dyDescent="0.25">
      <c r="B45" s="65">
        <v>42386</v>
      </c>
      <c r="C45" s="62" t="s">
        <v>55</v>
      </c>
      <c r="D45" s="62"/>
      <c r="E45" s="23"/>
      <c r="F45" s="27">
        <v>288.2</v>
      </c>
      <c r="G45" s="24">
        <f t="shared" si="0"/>
        <v>59330.720000000001</v>
      </c>
    </row>
    <row r="46" spans="2:7" x14ac:dyDescent="0.25">
      <c r="B46" s="65">
        <v>42387</v>
      </c>
      <c r="C46" s="62" t="s">
        <v>56</v>
      </c>
      <c r="D46" s="62"/>
      <c r="E46" s="23"/>
      <c r="F46" s="27">
        <v>180</v>
      </c>
      <c r="G46" s="24">
        <f t="shared" si="0"/>
        <v>59150.720000000001</v>
      </c>
    </row>
    <row r="47" spans="2:7" x14ac:dyDescent="0.25">
      <c r="B47" s="67">
        <v>42387</v>
      </c>
      <c r="C47" s="62" t="s">
        <v>57</v>
      </c>
      <c r="D47" s="62"/>
      <c r="E47" s="23"/>
      <c r="F47" s="27">
        <v>26</v>
      </c>
      <c r="G47" s="24">
        <f t="shared" si="0"/>
        <v>59124.72</v>
      </c>
    </row>
    <row r="48" spans="2:7" x14ac:dyDescent="0.25">
      <c r="B48" s="65">
        <v>42387</v>
      </c>
      <c r="C48" s="62" t="s">
        <v>57</v>
      </c>
      <c r="D48" s="62"/>
      <c r="E48" s="23"/>
      <c r="F48" s="27">
        <v>45.5</v>
      </c>
      <c r="G48" s="24">
        <f t="shared" si="0"/>
        <v>59079.22</v>
      </c>
    </row>
    <row r="49" spans="2:7" x14ac:dyDescent="0.25">
      <c r="B49" s="65">
        <v>42388</v>
      </c>
      <c r="C49" s="62" t="s">
        <v>58</v>
      </c>
      <c r="D49" s="62"/>
      <c r="E49" s="23"/>
      <c r="F49" s="27">
        <v>263.2</v>
      </c>
      <c r="G49" s="24">
        <f t="shared" si="0"/>
        <v>58816.020000000004</v>
      </c>
    </row>
    <row r="50" spans="2:7" x14ac:dyDescent="0.25">
      <c r="B50" s="65">
        <v>42388</v>
      </c>
      <c r="C50" s="63" t="s">
        <v>59</v>
      </c>
      <c r="D50" s="63"/>
      <c r="E50" s="23"/>
      <c r="F50" s="27">
        <v>41.5</v>
      </c>
      <c r="G50" s="24">
        <f t="shared" si="0"/>
        <v>58774.520000000004</v>
      </c>
    </row>
    <row r="51" spans="2:7" x14ac:dyDescent="0.25">
      <c r="B51" s="67">
        <v>42388</v>
      </c>
      <c r="C51" s="62" t="s">
        <v>60</v>
      </c>
      <c r="D51" s="62"/>
      <c r="E51" s="23"/>
      <c r="F51" s="27">
        <v>20</v>
      </c>
      <c r="G51" s="24">
        <f t="shared" si="0"/>
        <v>58754.520000000004</v>
      </c>
    </row>
    <row r="52" spans="2:7" x14ac:dyDescent="0.25">
      <c r="B52" s="65">
        <v>42389</v>
      </c>
      <c r="C52" s="62" t="s">
        <v>61</v>
      </c>
      <c r="D52" s="62"/>
      <c r="E52" s="23"/>
      <c r="F52" s="27">
        <v>345</v>
      </c>
      <c r="G52" s="24">
        <f t="shared" si="0"/>
        <v>58409.520000000004</v>
      </c>
    </row>
    <row r="53" spans="2:7" x14ac:dyDescent="0.25">
      <c r="B53" s="67">
        <v>42390</v>
      </c>
      <c r="C53" s="62" t="s">
        <v>62</v>
      </c>
      <c r="D53" s="62"/>
      <c r="E53" s="23"/>
      <c r="F53" s="27">
        <v>700</v>
      </c>
      <c r="G53" s="24">
        <f t="shared" si="0"/>
        <v>57709.520000000004</v>
      </c>
    </row>
    <row r="54" spans="2:7" x14ac:dyDescent="0.25">
      <c r="B54" s="65">
        <v>42390</v>
      </c>
      <c r="C54" s="62" t="s">
        <v>63</v>
      </c>
      <c r="D54" s="62"/>
      <c r="E54" s="23"/>
      <c r="F54" s="27">
        <v>100</v>
      </c>
      <c r="G54" s="24">
        <f t="shared" si="0"/>
        <v>57609.520000000004</v>
      </c>
    </row>
    <row r="55" spans="2:7" x14ac:dyDescent="0.25">
      <c r="B55" s="65">
        <v>42391</v>
      </c>
      <c r="C55" s="62" t="s">
        <v>64</v>
      </c>
      <c r="D55" s="62"/>
      <c r="E55" s="23"/>
      <c r="F55" s="27">
        <v>127.6</v>
      </c>
      <c r="G55" s="24">
        <f t="shared" si="0"/>
        <v>57481.920000000006</v>
      </c>
    </row>
    <row r="56" spans="2:7" x14ac:dyDescent="0.25">
      <c r="B56" s="65">
        <v>42391</v>
      </c>
      <c r="C56" s="62" t="s">
        <v>65</v>
      </c>
      <c r="D56" s="62"/>
      <c r="E56" s="23"/>
      <c r="F56" s="27">
        <v>60</v>
      </c>
      <c r="G56" s="24">
        <f t="shared" si="0"/>
        <v>57421.920000000006</v>
      </c>
    </row>
    <row r="57" spans="2:7" x14ac:dyDescent="0.25">
      <c r="B57" s="65">
        <v>42391</v>
      </c>
      <c r="C57" s="62" t="s">
        <v>66</v>
      </c>
      <c r="D57" s="62"/>
      <c r="E57" s="23"/>
      <c r="F57" s="27">
        <v>1204</v>
      </c>
      <c r="G57" s="24">
        <f t="shared" si="0"/>
        <v>56217.920000000006</v>
      </c>
    </row>
    <row r="58" spans="2:7" x14ac:dyDescent="0.25">
      <c r="B58" s="65">
        <v>42391</v>
      </c>
      <c r="C58" s="62" t="s">
        <v>67</v>
      </c>
      <c r="D58" s="62"/>
      <c r="E58" s="23"/>
      <c r="F58" s="27">
        <v>7</v>
      </c>
      <c r="G58" s="24">
        <f t="shared" si="0"/>
        <v>56210.920000000006</v>
      </c>
    </row>
    <row r="59" spans="2:7" x14ac:dyDescent="0.25">
      <c r="B59" s="65">
        <v>42391</v>
      </c>
      <c r="C59" s="62" t="s">
        <v>13</v>
      </c>
      <c r="D59" s="62"/>
      <c r="E59" s="23"/>
      <c r="F59" s="27">
        <v>1000</v>
      </c>
      <c r="G59" s="24">
        <f t="shared" si="0"/>
        <v>55210.920000000006</v>
      </c>
    </row>
    <row r="60" spans="2:7" x14ac:dyDescent="0.25">
      <c r="B60" s="65">
        <v>42391</v>
      </c>
      <c r="C60" s="62" t="s">
        <v>69</v>
      </c>
      <c r="D60" s="62"/>
      <c r="E60" s="23"/>
      <c r="F60" s="27">
        <v>320</v>
      </c>
      <c r="G60" s="24">
        <f t="shared" si="0"/>
        <v>54890.920000000006</v>
      </c>
    </row>
    <row r="61" spans="2:7" x14ac:dyDescent="0.25">
      <c r="B61" s="65">
        <v>42391</v>
      </c>
      <c r="C61" s="62" t="s">
        <v>68</v>
      </c>
      <c r="D61" s="62"/>
      <c r="E61" s="23"/>
      <c r="F61" s="27">
        <v>40</v>
      </c>
      <c r="G61" s="24">
        <f t="shared" si="0"/>
        <v>54850.920000000006</v>
      </c>
    </row>
    <row r="62" spans="2:7" x14ac:dyDescent="0.25">
      <c r="B62" s="67">
        <v>42391</v>
      </c>
      <c r="C62" s="62" t="s">
        <v>70</v>
      </c>
      <c r="D62" s="62"/>
      <c r="E62" s="23"/>
      <c r="F62" s="27">
        <v>175</v>
      </c>
      <c r="G62" s="24">
        <f t="shared" si="0"/>
        <v>54675.920000000006</v>
      </c>
    </row>
    <row r="63" spans="2:7" x14ac:dyDescent="0.25">
      <c r="B63" s="65">
        <v>42391</v>
      </c>
      <c r="C63" s="62" t="s">
        <v>71</v>
      </c>
      <c r="D63" s="62"/>
      <c r="E63" s="23"/>
      <c r="F63" s="23">
        <v>407.53</v>
      </c>
      <c r="G63" s="24">
        <f t="shared" si="0"/>
        <v>54268.390000000007</v>
      </c>
    </row>
    <row r="64" spans="2:7" x14ac:dyDescent="0.25">
      <c r="B64" s="65">
        <v>42391</v>
      </c>
      <c r="C64" s="62" t="s">
        <v>72</v>
      </c>
      <c r="D64" s="62"/>
      <c r="E64" s="23"/>
      <c r="F64" s="23">
        <v>15</v>
      </c>
      <c r="G64" s="24">
        <f t="shared" si="0"/>
        <v>54253.390000000007</v>
      </c>
    </row>
    <row r="65" spans="2:7" x14ac:dyDescent="0.25">
      <c r="B65" s="67">
        <v>42392</v>
      </c>
      <c r="C65" s="62" t="s">
        <v>73</v>
      </c>
      <c r="D65" s="62"/>
      <c r="E65" s="23"/>
      <c r="F65" s="27">
        <v>230</v>
      </c>
      <c r="G65" s="24">
        <f t="shared" si="0"/>
        <v>54023.390000000007</v>
      </c>
    </row>
    <row r="66" spans="2:7" x14ac:dyDescent="0.25">
      <c r="B66" s="67">
        <v>42392</v>
      </c>
      <c r="C66" s="62" t="s">
        <v>74</v>
      </c>
      <c r="D66" s="62"/>
      <c r="E66" s="23"/>
      <c r="F66" s="27">
        <v>120</v>
      </c>
      <c r="G66" s="24">
        <f t="shared" si="0"/>
        <v>53903.390000000007</v>
      </c>
    </row>
    <row r="67" spans="2:7" x14ac:dyDescent="0.25">
      <c r="B67" s="67">
        <v>42392</v>
      </c>
      <c r="C67" s="63" t="s">
        <v>75</v>
      </c>
      <c r="D67" s="63"/>
      <c r="E67" s="23"/>
      <c r="F67" s="27">
        <v>100</v>
      </c>
      <c r="G67" s="24">
        <f t="shared" si="0"/>
        <v>53803.390000000007</v>
      </c>
    </row>
    <row r="68" spans="2:7" x14ac:dyDescent="0.25">
      <c r="B68" s="65">
        <v>42392</v>
      </c>
      <c r="C68" s="62" t="s">
        <v>76</v>
      </c>
      <c r="D68" s="62"/>
      <c r="E68" s="23"/>
      <c r="F68" s="27">
        <v>750</v>
      </c>
      <c r="G68" s="24">
        <f t="shared" si="0"/>
        <v>53053.390000000007</v>
      </c>
    </row>
    <row r="69" spans="2:7" x14ac:dyDescent="0.25">
      <c r="B69" s="67">
        <v>42393</v>
      </c>
      <c r="C69" s="62" t="s">
        <v>77</v>
      </c>
      <c r="D69" s="62"/>
      <c r="E69" s="23"/>
      <c r="F69" s="27">
        <v>500</v>
      </c>
      <c r="G69" s="24">
        <f t="shared" si="0"/>
        <v>52553.390000000007</v>
      </c>
    </row>
    <row r="70" spans="2:7" x14ac:dyDescent="0.25">
      <c r="B70" s="67">
        <v>42394</v>
      </c>
      <c r="C70" s="62" t="s">
        <v>80</v>
      </c>
      <c r="D70" s="62"/>
      <c r="E70" s="23">
        <v>41010</v>
      </c>
      <c r="F70" s="27"/>
      <c r="G70" s="24">
        <f t="shared" ref="G70:G101" si="1">+G69+E70-F70</f>
        <v>93563.390000000014</v>
      </c>
    </row>
    <row r="71" spans="2:7" x14ac:dyDescent="0.25">
      <c r="B71" s="67">
        <v>42394</v>
      </c>
      <c r="C71" s="62" t="s">
        <v>78</v>
      </c>
      <c r="D71" s="62"/>
      <c r="E71" s="23"/>
      <c r="F71" s="27">
        <v>19.8</v>
      </c>
      <c r="G71" s="24">
        <f t="shared" si="1"/>
        <v>93543.590000000011</v>
      </c>
    </row>
    <row r="72" spans="2:7" x14ac:dyDescent="0.25">
      <c r="B72" s="67">
        <v>42394</v>
      </c>
      <c r="C72" s="62" t="s">
        <v>79</v>
      </c>
      <c r="D72" s="62"/>
      <c r="E72" s="23"/>
      <c r="F72" s="27">
        <v>72</v>
      </c>
      <c r="G72" s="24">
        <f t="shared" si="1"/>
        <v>93471.590000000011</v>
      </c>
    </row>
    <row r="73" spans="2:7" x14ac:dyDescent="0.25">
      <c r="B73" s="64">
        <v>42394</v>
      </c>
      <c r="C73" s="63" t="s">
        <v>17</v>
      </c>
      <c r="D73" s="63"/>
      <c r="E73" s="23"/>
      <c r="F73" s="27">
        <v>110</v>
      </c>
      <c r="G73" s="24">
        <f t="shared" si="1"/>
        <v>93361.590000000011</v>
      </c>
    </row>
    <row r="74" spans="2:7" x14ac:dyDescent="0.25">
      <c r="B74" s="66">
        <v>42394</v>
      </c>
      <c r="C74" s="63" t="s">
        <v>81</v>
      </c>
      <c r="D74" s="63"/>
      <c r="E74" s="23"/>
      <c r="F74" s="27">
        <v>2750</v>
      </c>
      <c r="G74" s="24">
        <f t="shared" si="1"/>
        <v>90611.590000000011</v>
      </c>
    </row>
    <row r="75" spans="2:7" x14ac:dyDescent="0.25">
      <c r="B75" s="67">
        <v>42394</v>
      </c>
      <c r="C75" s="63" t="s">
        <v>82</v>
      </c>
      <c r="D75" s="63"/>
      <c r="E75" s="23"/>
      <c r="F75" s="27">
        <v>500</v>
      </c>
      <c r="G75" s="24">
        <f t="shared" si="1"/>
        <v>90111.590000000011</v>
      </c>
    </row>
    <row r="76" spans="2:7" x14ac:dyDescent="0.25">
      <c r="B76" s="67">
        <v>42394</v>
      </c>
      <c r="C76" s="61" t="s">
        <v>83</v>
      </c>
      <c r="D76" s="94"/>
      <c r="E76" s="23"/>
      <c r="F76" s="27">
        <v>550</v>
      </c>
      <c r="G76" s="24">
        <f t="shared" si="1"/>
        <v>89561.590000000011</v>
      </c>
    </row>
    <row r="77" spans="2:7" x14ac:dyDescent="0.25">
      <c r="B77" s="36">
        <v>42396</v>
      </c>
      <c r="C77" s="25" t="s">
        <v>78</v>
      </c>
      <c r="D77" s="25"/>
      <c r="E77" s="23"/>
      <c r="F77" s="27">
        <v>112.8</v>
      </c>
      <c r="G77" s="24">
        <f t="shared" si="1"/>
        <v>89448.790000000008</v>
      </c>
    </row>
    <row r="78" spans="2:7" x14ac:dyDescent="0.25">
      <c r="B78" s="36">
        <v>42397</v>
      </c>
      <c r="C78" s="25" t="s">
        <v>89</v>
      </c>
      <c r="D78" s="25"/>
      <c r="E78" s="23"/>
      <c r="F78" s="27">
        <v>700</v>
      </c>
      <c r="G78" s="24">
        <f t="shared" si="1"/>
        <v>88748.790000000008</v>
      </c>
    </row>
    <row r="79" spans="2:7" x14ac:dyDescent="0.25">
      <c r="B79" s="36">
        <v>42397</v>
      </c>
      <c r="C79" s="25" t="s">
        <v>90</v>
      </c>
      <c r="D79" s="25"/>
      <c r="E79" s="23"/>
      <c r="F79" s="27">
        <v>5970</v>
      </c>
      <c r="G79" s="24">
        <f t="shared" si="1"/>
        <v>82778.790000000008</v>
      </c>
    </row>
    <row r="80" spans="2:7" x14ac:dyDescent="0.25">
      <c r="B80" s="36">
        <v>42398</v>
      </c>
      <c r="C80" s="25" t="s">
        <v>91</v>
      </c>
      <c r="D80" s="25"/>
      <c r="E80" s="23"/>
      <c r="F80" s="27">
        <v>41</v>
      </c>
      <c r="G80" s="24">
        <f t="shared" si="1"/>
        <v>82737.790000000008</v>
      </c>
    </row>
    <row r="81" spans="2:7" x14ac:dyDescent="0.25">
      <c r="B81" s="36">
        <v>42398</v>
      </c>
      <c r="C81" s="25" t="s">
        <v>92</v>
      </c>
      <c r="D81" s="25"/>
      <c r="E81" s="23"/>
      <c r="F81" s="27">
        <v>500</v>
      </c>
      <c r="G81" s="24">
        <f t="shared" si="1"/>
        <v>82237.790000000008</v>
      </c>
    </row>
    <row r="82" spans="2:7" x14ac:dyDescent="0.25">
      <c r="B82" s="36">
        <v>42398</v>
      </c>
      <c r="C82" s="25" t="s">
        <v>93</v>
      </c>
      <c r="D82" s="25"/>
      <c r="E82" s="23"/>
      <c r="F82" s="27">
        <v>5</v>
      </c>
      <c r="G82" s="24">
        <f t="shared" si="1"/>
        <v>82232.790000000008</v>
      </c>
    </row>
    <row r="83" spans="2:7" x14ac:dyDescent="0.25">
      <c r="B83" s="36">
        <v>42398</v>
      </c>
      <c r="C83" s="25" t="s">
        <v>94</v>
      </c>
      <c r="D83" s="25"/>
      <c r="E83" s="23"/>
      <c r="F83" s="27">
        <v>108.8</v>
      </c>
      <c r="G83" s="24">
        <f t="shared" si="1"/>
        <v>82123.990000000005</v>
      </c>
    </row>
    <row r="84" spans="2:7" x14ac:dyDescent="0.25">
      <c r="B84" s="36">
        <v>42398</v>
      </c>
      <c r="C84" s="25" t="s">
        <v>95</v>
      </c>
      <c r="D84" s="25"/>
      <c r="E84" s="23"/>
      <c r="F84" s="27">
        <v>350</v>
      </c>
      <c r="G84" s="24">
        <f t="shared" si="1"/>
        <v>81773.990000000005</v>
      </c>
    </row>
    <row r="85" spans="2:7" x14ac:dyDescent="0.25">
      <c r="B85" s="36">
        <v>42398</v>
      </c>
      <c r="C85" s="25" t="s">
        <v>13</v>
      </c>
      <c r="D85" s="25"/>
      <c r="E85" s="23"/>
      <c r="F85" s="27">
        <v>1000</v>
      </c>
      <c r="G85" s="24">
        <f t="shared" si="1"/>
        <v>80773.990000000005</v>
      </c>
    </row>
    <row r="86" spans="2:7" x14ac:dyDescent="0.25">
      <c r="B86" s="36">
        <v>42398</v>
      </c>
      <c r="C86" s="25" t="s">
        <v>96</v>
      </c>
      <c r="D86" s="25"/>
      <c r="E86" s="23"/>
      <c r="F86" s="27">
        <v>500</v>
      </c>
      <c r="G86" s="24">
        <f t="shared" si="1"/>
        <v>80273.990000000005</v>
      </c>
    </row>
    <row r="87" spans="2:7" x14ac:dyDescent="0.25">
      <c r="B87" s="36">
        <v>42398</v>
      </c>
      <c r="C87" s="25" t="s">
        <v>97</v>
      </c>
      <c r="D87" s="25"/>
      <c r="E87" s="23"/>
      <c r="F87" s="27">
        <v>110</v>
      </c>
      <c r="G87" s="24">
        <f t="shared" si="1"/>
        <v>80163.990000000005</v>
      </c>
    </row>
    <row r="88" spans="2:7" x14ac:dyDescent="0.25">
      <c r="B88" s="36">
        <v>42398</v>
      </c>
      <c r="C88" s="25" t="s">
        <v>98</v>
      </c>
      <c r="D88" s="25"/>
      <c r="E88" s="23"/>
      <c r="F88" s="27">
        <v>680</v>
      </c>
      <c r="G88" s="24">
        <f t="shared" si="1"/>
        <v>79483.990000000005</v>
      </c>
    </row>
    <row r="89" spans="2:7" x14ac:dyDescent="0.25">
      <c r="B89" s="36">
        <v>42398</v>
      </c>
      <c r="C89" s="25" t="s">
        <v>99</v>
      </c>
      <c r="D89" s="25"/>
      <c r="E89" s="23"/>
      <c r="F89" s="27">
        <v>250</v>
      </c>
      <c r="G89" s="24">
        <f t="shared" si="1"/>
        <v>79233.990000000005</v>
      </c>
    </row>
    <row r="90" spans="2:7" x14ac:dyDescent="0.25">
      <c r="B90" s="36">
        <v>42398</v>
      </c>
      <c r="C90" s="25" t="s">
        <v>99</v>
      </c>
      <c r="D90" s="25"/>
      <c r="E90" s="23"/>
      <c r="F90" s="27">
        <v>100</v>
      </c>
      <c r="G90" s="24">
        <f t="shared" si="1"/>
        <v>79133.990000000005</v>
      </c>
    </row>
    <row r="91" spans="2:7" x14ac:dyDescent="0.25">
      <c r="B91" s="36">
        <v>42399</v>
      </c>
      <c r="C91" s="25" t="s">
        <v>100</v>
      </c>
      <c r="D91" s="25"/>
      <c r="E91" s="23"/>
      <c r="F91" s="27">
        <v>160</v>
      </c>
      <c r="G91" s="24">
        <f t="shared" si="1"/>
        <v>78973.990000000005</v>
      </c>
    </row>
    <row r="92" spans="2:7" x14ac:dyDescent="0.25">
      <c r="B92" s="36">
        <v>42399</v>
      </c>
      <c r="C92" s="25" t="s">
        <v>101</v>
      </c>
      <c r="D92" s="25"/>
      <c r="E92" s="23"/>
      <c r="F92" s="27">
        <v>35</v>
      </c>
      <c r="G92" s="24">
        <f t="shared" si="1"/>
        <v>78938.990000000005</v>
      </c>
    </row>
    <row r="93" spans="2:7" x14ac:dyDescent="0.25">
      <c r="B93" s="36">
        <v>42399</v>
      </c>
      <c r="C93" s="25" t="s">
        <v>99</v>
      </c>
      <c r="D93" s="25"/>
      <c r="E93" s="23"/>
      <c r="F93" s="27">
        <v>400</v>
      </c>
      <c r="G93" s="24">
        <f t="shared" si="1"/>
        <v>78538.990000000005</v>
      </c>
    </row>
    <row r="94" spans="2:7" x14ac:dyDescent="0.25">
      <c r="B94" s="36">
        <v>42399</v>
      </c>
      <c r="C94" s="25" t="s">
        <v>102</v>
      </c>
      <c r="D94" s="25"/>
      <c r="E94" s="23"/>
      <c r="F94" s="27">
        <v>500</v>
      </c>
      <c r="G94" s="24">
        <f t="shared" si="1"/>
        <v>78038.990000000005</v>
      </c>
    </row>
    <row r="95" spans="2:7" x14ac:dyDescent="0.25">
      <c r="B95" s="36">
        <v>42400</v>
      </c>
      <c r="C95" s="25" t="s">
        <v>103</v>
      </c>
      <c r="D95" s="25"/>
      <c r="E95" s="23"/>
      <c r="F95" s="27">
        <v>450</v>
      </c>
      <c r="G95" s="24">
        <f t="shared" si="1"/>
        <v>77588.990000000005</v>
      </c>
    </row>
    <row r="96" spans="2:7" x14ac:dyDescent="0.25">
      <c r="B96" s="36">
        <v>42400</v>
      </c>
      <c r="C96" s="25" t="s">
        <v>104</v>
      </c>
      <c r="D96" s="25"/>
      <c r="E96" s="23"/>
      <c r="F96" s="27">
        <v>100</v>
      </c>
      <c r="G96" s="24">
        <f t="shared" si="1"/>
        <v>77488.990000000005</v>
      </c>
    </row>
    <row r="97" spans="2:10" x14ac:dyDescent="0.25">
      <c r="B97" s="36">
        <v>42400</v>
      </c>
      <c r="C97" s="25" t="s">
        <v>105</v>
      </c>
      <c r="D97" s="25"/>
      <c r="E97" s="23"/>
      <c r="F97" s="27">
        <v>650</v>
      </c>
      <c r="G97" s="24">
        <f t="shared" si="1"/>
        <v>76838.990000000005</v>
      </c>
    </row>
    <row r="98" spans="2:10" x14ac:dyDescent="0.25">
      <c r="B98" s="36">
        <v>42400</v>
      </c>
      <c r="C98" s="25" t="s">
        <v>106</v>
      </c>
      <c r="D98" s="25"/>
      <c r="E98" s="23"/>
      <c r="F98" s="27">
        <v>100</v>
      </c>
      <c r="G98" s="24">
        <f t="shared" si="1"/>
        <v>76738.990000000005</v>
      </c>
    </row>
    <row r="99" spans="2:10" x14ac:dyDescent="0.25">
      <c r="B99" s="36">
        <v>42400</v>
      </c>
      <c r="C99" s="25" t="s">
        <v>51</v>
      </c>
      <c r="D99" s="25"/>
      <c r="E99" s="23"/>
      <c r="F99" s="27">
        <v>2700</v>
      </c>
      <c r="G99" s="24">
        <f t="shared" si="1"/>
        <v>74038.990000000005</v>
      </c>
    </row>
    <row r="100" spans="2:10" x14ac:dyDescent="0.25">
      <c r="B100" s="36">
        <v>42400</v>
      </c>
      <c r="C100" s="25" t="s">
        <v>50</v>
      </c>
      <c r="D100" s="25"/>
      <c r="E100" s="23"/>
      <c r="F100" s="27">
        <v>29000</v>
      </c>
      <c r="G100" s="24">
        <f t="shared" si="1"/>
        <v>45038.990000000005</v>
      </c>
    </row>
    <row r="101" spans="2:10" ht="15.75" thickBot="1" x14ac:dyDescent="0.3">
      <c r="B101" s="36">
        <v>42400</v>
      </c>
      <c r="C101" s="25" t="s">
        <v>52</v>
      </c>
      <c r="D101" s="25"/>
      <c r="E101" s="23"/>
      <c r="F101" s="27">
        <v>4000</v>
      </c>
      <c r="G101" s="24">
        <f t="shared" si="1"/>
        <v>41038.990000000005</v>
      </c>
    </row>
    <row r="102" spans="2:10" ht="15.75" thickBot="1" x14ac:dyDescent="0.3">
      <c r="B102" s="40"/>
      <c r="C102" s="16" t="s">
        <v>0</v>
      </c>
      <c r="D102" s="16"/>
      <c r="E102" s="14">
        <f>SUM(E4:E101)</f>
        <v>151565</v>
      </c>
      <c r="F102" s="14">
        <f>SUM(F4:F101)</f>
        <v>114325.83</v>
      </c>
      <c r="G102" s="15"/>
      <c r="H102" s="1"/>
    </row>
    <row r="103" spans="2:10" x14ac:dyDescent="0.25">
      <c r="B103" s="5"/>
      <c r="C103" s="95"/>
      <c r="D103" s="95"/>
      <c r="E103" s="53"/>
      <c r="F103" s="53"/>
      <c r="G103" s="53"/>
      <c r="H103" s="1"/>
    </row>
    <row r="104" spans="2:10" x14ac:dyDescent="0.25">
      <c r="B104" s="96">
        <v>42397</v>
      </c>
      <c r="C104" s="97" t="s">
        <v>269</v>
      </c>
      <c r="D104" s="1">
        <v>1600</v>
      </c>
      <c r="E104" s="2"/>
      <c r="F104" s="3"/>
      <c r="H104" s="1"/>
      <c r="I104" s="1"/>
    </row>
    <row r="105" spans="2:10" x14ac:dyDescent="0.25">
      <c r="B105" s="31"/>
      <c r="C105" s="22" t="s">
        <v>33</v>
      </c>
      <c r="D105" s="23"/>
      <c r="E105" s="23"/>
      <c r="F105" s="24"/>
      <c r="H105" s="54"/>
      <c r="I105" s="1">
        <v>42798.99</v>
      </c>
    </row>
    <row r="106" spans="2:10" x14ac:dyDescent="0.25">
      <c r="B106" s="31">
        <v>42360</v>
      </c>
      <c r="C106" s="21" t="s">
        <v>85</v>
      </c>
      <c r="D106" s="100">
        <v>10583.18</v>
      </c>
      <c r="E106" s="23"/>
      <c r="F106" s="24">
        <v>10583.18</v>
      </c>
      <c r="H106" s="54"/>
      <c r="I106" s="1">
        <v>61043.47</v>
      </c>
    </row>
    <row r="107" spans="2:10" x14ac:dyDescent="0.25">
      <c r="B107" s="31">
        <v>42380</v>
      </c>
      <c r="C107" s="46" t="s">
        <v>84</v>
      </c>
      <c r="D107" s="101">
        <v>1600</v>
      </c>
      <c r="E107" s="28"/>
      <c r="F107" s="24">
        <f>+F106+D107-E107</f>
        <v>12183.18</v>
      </c>
      <c r="H107" s="54"/>
      <c r="I107" s="1">
        <f>SUM(I105:I106)</f>
        <v>103842.45999999999</v>
      </c>
    </row>
    <row r="108" spans="2:10" x14ac:dyDescent="0.25">
      <c r="B108" s="72">
        <v>42380</v>
      </c>
      <c r="C108" s="46" t="s">
        <v>34</v>
      </c>
      <c r="D108" s="101">
        <v>23400</v>
      </c>
      <c r="E108" s="28"/>
      <c r="F108" s="24">
        <f>+F107+D108-E108</f>
        <v>35583.18</v>
      </c>
      <c r="H108" s="54"/>
    </row>
    <row r="109" spans="2:10" x14ac:dyDescent="0.25">
      <c r="B109" s="31">
        <v>42382</v>
      </c>
      <c r="C109" s="46" t="s">
        <v>35</v>
      </c>
      <c r="D109" s="101">
        <v>4400</v>
      </c>
      <c r="E109" s="28"/>
      <c r="F109" s="24">
        <f t="shared" ref="F109:F116" si="2">+F108+D109-E109</f>
        <v>39983.18</v>
      </c>
      <c r="H109" s="54"/>
      <c r="J109" s="1">
        <v>108923.99</v>
      </c>
    </row>
    <row r="110" spans="2:10" x14ac:dyDescent="0.25">
      <c r="B110" s="31">
        <v>42382</v>
      </c>
      <c r="C110" s="46" t="s">
        <v>36</v>
      </c>
      <c r="D110" s="101">
        <v>1500</v>
      </c>
      <c r="E110" s="28"/>
      <c r="F110" s="24">
        <f t="shared" si="2"/>
        <v>41483.18</v>
      </c>
      <c r="H110" s="54"/>
      <c r="J110" s="98" t="s">
        <v>271</v>
      </c>
    </row>
    <row r="111" spans="2:10" x14ac:dyDescent="0.25">
      <c r="B111" s="31">
        <v>42386</v>
      </c>
      <c r="C111" s="46" t="s">
        <v>37</v>
      </c>
      <c r="D111" s="28">
        <v>1200</v>
      </c>
      <c r="E111" s="28"/>
      <c r="F111" s="24">
        <f t="shared" si="2"/>
        <v>42683.18</v>
      </c>
      <c r="H111" s="54"/>
      <c r="J111" s="1">
        <v>5841.53</v>
      </c>
    </row>
    <row r="112" spans="2:10" x14ac:dyDescent="0.25">
      <c r="B112" s="31">
        <v>42386</v>
      </c>
      <c r="C112" s="46" t="s">
        <v>107</v>
      </c>
      <c r="D112" s="28">
        <v>800</v>
      </c>
      <c r="E112" s="28"/>
      <c r="F112" s="24">
        <f t="shared" si="2"/>
        <v>43483.18</v>
      </c>
      <c r="H112" s="54"/>
    </row>
    <row r="113" spans="2:10" x14ac:dyDescent="0.25">
      <c r="B113" s="31">
        <v>42397</v>
      </c>
      <c r="C113" s="46" t="s">
        <v>86</v>
      </c>
      <c r="D113" s="28">
        <v>12760</v>
      </c>
      <c r="E113" s="28"/>
      <c r="F113" s="24">
        <f t="shared" si="2"/>
        <v>56243.18</v>
      </c>
      <c r="H113" s="54"/>
      <c r="I113" s="1"/>
    </row>
    <row r="114" spans="2:10" x14ac:dyDescent="0.25">
      <c r="B114" s="31">
        <v>42415</v>
      </c>
      <c r="C114" s="46"/>
      <c r="D114" s="28">
        <v>4400</v>
      </c>
      <c r="E114" s="28"/>
      <c r="F114" s="24">
        <f t="shared" si="2"/>
        <v>60643.18</v>
      </c>
      <c r="H114" s="54"/>
    </row>
    <row r="115" spans="2:10" x14ac:dyDescent="0.25">
      <c r="B115" s="31">
        <v>42419</v>
      </c>
      <c r="C115" s="46"/>
      <c r="D115" s="28">
        <v>400.29</v>
      </c>
      <c r="E115" s="28"/>
      <c r="F115" s="24">
        <f t="shared" si="2"/>
        <v>61043.47</v>
      </c>
      <c r="H115" s="54">
        <v>103842.46</v>
      </c>
      <c r="J115" s="99">
        <v>10583.18</v>
      </c>
    </row>
    <row r="116" spans="2:10" x14ac:dyDescent="0.25">
      <c r="B116" s="31"/>
      <c r="C116" s="46"/>
      <c r="D116" s="28"/>
      <c r="E116" s="28"/>
      <c r="F116" s="24">
        <f t="shared" si="2"/>
        <v>61043.47</v>
      </c>
      <c r="H116" s="54"/>
      <c r="J116" s="99">
        <v>1600</v>
      </c>
    </row>
    <row r="117" spans="2:10" x14ac:dyDescent="0.25">
      <c r="C117" s="5"/>
      <c r="D117" s="68"/>
      <c r="E117" s="55">
        <f>SUM(D106:D116)</f>
        <v>61043.47</v>
      </c>
      <c r="F117" s="55"/>
      <c r="G117" s="51"/>
      <c r="H117" s="54"/>
      <c r="J117" s="99">
        <v>23400</v>
      </c>
    </row>
    <row r="118" spans="2:10" x14ac:dyDescent="0.25">
      <c r="C118" s="5"/>
      <c r="D118" s="68"/>
      <c r="E118" s="55"/>
      <c r="F118" s="55">
        <f>SUM(E102+E117)</f>
        <v>212608.47</v>
      </c>
      <c r="G118" s="51"/>
      <c r="H118" s="54">
        <f>SUM(F119-G119)</f>
        <v>216090</v>
      </c>
      <c r="J118" s="99">
        <v>1500</v>
      </c>
    </row>
    <row r="119" spans="2:10" x14ac:dyDescent="0.25">
      <c r="C119" s="5"/>
      <c r="D119" s="68"/>
      <c r="E119" s="55"/>
      <c r="F119" s="55">
        <v>217690</v>
      </c>
      <c r="G119" s="51">
        <v>1600</v>
      </c>
      <c r="H119" s="54"/>
      <c r="I119" s="1"/>
      <c r="J119" s="99">
        <v>4400</v>
      </c>
    </row>
    <row r="120" spans="2:10" x14ac:dyDescent="0.25">
      <c r="C120" s="5"/>
      <c r="D120" s="68"/>
      <c r="E120" s="55" t="s">
        <v>270</v>
      </c>
      <c r="F120" s="55">
        <v>3481.53</v>
      </c>
      <c r="G120" s="51"/>
      <c r="H120" s="51"/>
      <c r="J120">
        <f>SUM(J115:J119)</f>
        <v>41483.18</v>
      </c>
    </row>
    <row r="121" spans="2:10" x14ac:dyDescent="0.25">
      <c r="C121" s="70">
        <v>42380</v>
      </c>
      <c r="D121" s="68" t="s">
        <v>87</v>
      </c>
      <c r="E121" s="68"/>
      <c r="F121" s="55"/>
      <c r="G121" s="55"/>
      <c r="H121" s="54"/>
    </row>
    <row r="122" spans="2:10" x14ac:dyDescent="0.25">
      <c r="C122" s="5" t="s">
        <v>88</v>
      </c>
      <c r="D122" s="68" t="s">
        <v>272</v>
      </c>
      <c r="E122" s="68"/>
      <c r="F122" s="55"/>
      <c r="G122" s="78"/>
      <c r="H122" s="54"/>
    </row>
    <row r="123" spans="2:10" x14ac:dyDescent="0.25">
      <c r="D123" t="s">
        <v>273</v>
      </c>
      <c r="F123" s="52"/>
      <c r="G123" s="78"/>
      <c r="H123" s="54"/>
    </row>
    <row r="124" spans="2:10" x14ac:dyDescent="0.25">
      <c r="F124" s="10"/>
      <c r="G124" s="78"/>
      <c r="H124" s="54"/>
    </row>
    <row r="125" spans="2:10" x14ac:dyDescent="0.25">
      <c r="C125" t="s">
        <v>274</v>
      </c>
      <c r="D125" t="s">
        <v>275</v>
      </c>
      <c r="F125" s="10"/>
      <c r="G125" s="78"/>
      <c r="H125" s="54"/>
    </row>
    <row r="126" spans="2:10" x14ac:dyDescent="0.25">
      <c r="D126" t="s">
        <v>276</v>
      </c>
      <c r="F126" s="10"/>
      <c r="G126" s="78"/>
      <c r="H126" s="54"/>
    </row>
    <row r="127" spans="2:10" x14ac:dyDescent="0.25">
      <c r="D127" t="s">
        <v>277</v>
      </c>
      <c r="F127" s="10"/>
      <c r="G127" s="78"/>
      <c r="H127" s="54"/>
    </row>
    <row r="128" spans="2:10" x14ac:dyDescent="0.25">
      <c r="F128" s="10"/>
      <c r="G128" s="78"/>
    </row>
    <row r="129" spans="4:4" x14ac:dyDescent="0.25">
      <c r="D129" t="s">
        <v>278</v>
      </c>
    </row>
    <row r="130" spans="4:4" x14ac:dyDescent="0.25">
      <c r="D130" t="s">
        <v>279</v>
      </c>
    </row>
    <row r="132" spans="4:4" x14ac:dyDescent="0.25">
      <c r="D132" t="s">
        <v>280</v>
      </c>
    </row>
    <row r="133" spans="4:4" x14ac:dyDescent="0.25">
      <c r="D133" t="s">
        <v>281</v>
      </c>
    </row>
    <row r="134" spans="4:4" x14ac:dyDescent="0.25">
      <c r="D134" t="s">
        <v>282</v>
      </c>
    </row>
    <row r="135" spans="4:4" x14ac:dyDescent="0.25">
      <c r="D135" s="102">
        <v>3481.53</v>
      </c>
    </row>
  </sheetData>
  <mergeCells count="1">
    <mergeCell ref="B2:G2"/>
  </mergeCells>
  <printOptions verticalCentered="1"/>
  <pageMargins left="0.70866141732283472" right="0.70866141732283472" top="0.74803149606299213" bottom="0.74803149606299213" header="0.31496062992125984" footer="0.31496062992125984"/>
  <pageSetup paperSize="9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1:I215"/>
  <sheetViews>
    <sheetView topLeftCell="A123" zoomScaleNormal="100" workbookViewId="0">
      <selection activeCell="D145" sqref="D145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8" x14ac:dyDescent="0.25">
      <c r="B1" s="31"/>
      <c r="C1" s="22" t="s">
        <v>33</v>
      </c>
      <c r="D1" s="23"/>
      <c r="E1" s="23"/>
      <c r="F1" s="24"/>
    </row>
    <row r="2" spans="2:8" x14ac:dyDescent="0.25">
      <c r="B2" s="31">
        <v>42360</v>
      </c>
      <c r="C2" s="21" t="s">
        <v>85</v>
      </c>
      <c r="D2" s="23">
        <v>10600</v>
      </c>
      <c r="E2" s="23"/>
      <c r="F2" s="24">
        <v>10600</v>
      </c>
      <c r="H2" s="1">
        <f>SUM(D2:D6)</f>
        <v>41500</v>
      </c>
    </row>
    <row r="3" spans="2:8" x14ac:dyDescent="0.25">
      <c r="B3" s="31">
        <v>42380</v>
      </c>
      <c r="C3" s="46" t="s">
        <v>84</v>
      </c>
      <c r="D3" s="28">
        <v>1600</v>
      </c>
      <c r="E3" s="28"/>
      <c r="F3" s="24">
        <f>+F2+D3-E3</f>
        <v>12200</v>
      </c>
    </row>
    <row r="4" spans="2:8" x14ac:dyDescent="0.25">
      <c r="B4" s="72">
        <v>42380</v>
      </c>
      <c r="C4" s="46" t="s">
        <v>34</v>
      </c>
      <c r="D4" s="71">
        <v>23400</v>
      </c>
      <c r="E4" s="28"/>
      <c r="F4" s="24">
        <f>+F3+D4-E4</f>
        <v>35600</v>
      </c>
    </row>
    <row r="5" spans="2:8" x14ac:dyDescent="0.25">
      <c r="B5" s="31">
        <v>42382</v>
      </c>
      <c r="C5" s="46" t="s">
        <v>35</v>
      </c>
      <c r="D5" s="28">
        <v>4400</v>
      </c>
      <c r="E5" s="28"/>
      <c r="F5" s="24">
        <f t="shared" ref="F5:F12" si="0">+F4+D5-E5</f>
        <v>40000</v>
      </c>
    </row>
    <row r="6" spans="2:8" x14ac:dyDescent="0.25">
      <c r="B6" s="31">
        <v>42382</v>
      </c>
      <c r="C6" s="46" t="s">
        <v>36</v>
      </c>
      <c r="D6" s="28">
        <v>1500</v>
      </c>
      <c r="E6" s="28"/>
      <c r="F6" s="24">
        <f t="shared" si="0"/>
        <v>41500</v>
      </c>
    </row>
    <row r="7" spans="2:8" x14ac:dyDescent="0.25">
      <c r="B7" s="31">
        <v>42386</v>
      </c>
      <c r="C7" s="46" t="s">
        <v>107</v>
      </c>
      <c r="D7" s="28">
        <v>800</v>
      </c>
      <c r="E7" s="28"/>
      <c r="F7" s="24">
        <f t="shared" si="0"/>
        <v>42300</v>
      </c>
    </row>
    <row r="8" spans="2:8" x14ac:dyDescent="0.25">
      <c r="B8" s="31">
        <v>42386</v>
      </c>
      <c r="C8" s="46" t="s">
        <v>37</v>
      </c>
      <c r="D8" s="28">
        <v>1200</v>
      </c>
      <c r="E8" s="28"/>
      <c r="F8" s="24">
        <f t="shared" si="0"/>
        <v>43500</v>
      </c>
    </row>
    <row r="9" spans="2:8" x14ac:dyDescent="0.25">
      <c r="B9" s="31">
        <v>42397</v>
      </c>
      <c r="C9" s="46" t="s">
        <v>86</v>
      </c>
      <c r="D9" s="28">
        <v>12760</v>
      </c>
      <c r="E9" s="28"/>
      <c r="F9" s="24">
        <f t="shared" si="0"/>
        <v>56260</v>
      </c>
    </row>
    <row r="10" spans="2:8" x14ac:dyDescent="0.25">
      <c r="B10" s="31"/>
      <c r="C10" s="46"/>
      <c r="D10" s="28">
        <v>4400</v>
      </c>
      <c r="E10" s="28"/>
      <c r="F10" s="24">
        <f t="shared" si="0"/>
        <v>60660</v>
      </c>
    </row>
    <row r="11" spans="2:8" x14ac:dyDescent="0.25">
      <c r="B11" s="31"/>
      <c r="C11" s="46"/>
      <c r="D11" s="28">
        <v>400.29</v>
      </c>
      <c r="E11" s="28"/>
      <c r="F11" s="24">
        <f t="shared" si="0"/>
        <v>61060.29</v>
      </c>
    </row>
    <row r="12" spans="2:8" x14ac:dyDescent="0.25">
      <c r="B12" s="31"/>
      <c r="C12" s="46"/>
      <c r="D12" s="28"/>
      <c r="E12" s="28"/>
      <c r="F12" s="24">
        <f t="shared" si="0"/>
        <v>61060.29</v>
      </c>
    </row>
    <row r="13" spans="2:8" x14ac:dyDescent="0.25">
      <c r="B13" s="5">
        <v>42401</v>
      </c>
      <c r="C13" s="68"/>
      <c r="D13" s="55"/>
      <c r="E13" s="55"/>
      <c r="F13" s="51"/>
    </row>
    <row r="14" spans="2:8" x14ac:dyDescent="0.25">
      <c r="B14" s="154" t="s">
        <v>9</v>
      </c>
      <c r="C14" s="154"/>
      <c r="D14" s="154"/>
      <c r="E14" s="154"/>
      <c r="F14" s="154"/>
    </row>
    <row r="15" spans="2:8" ht="15.75" thickBot="1" x14ac:dyDescent="0.3">
      <c r="C15" s="17"/>
      <c r="D15" s="17"/>
    </row>
    <row r="16" spans="2:8" ht="15.75" thickBot="1" x14ac:dyDescent="0.3">
      <c r="B16" s="42" t="s">
        <v>1</v>
      </c>
      <c r="C16" s="11" t="s">
        <v>2</v>
      </c>
      <c r="D16" s="6" t="s">
        <v>3</v>
      </c>
      <c r="E16" s="7" t="s">
        <v>5</v>
      </c>
      <c r="F16" s="8" t="s">
        <v>4</v>
      </c>
    </row>
    <row r="17" spans="2:9" x14ac:dyDescent="0.25">
      <c r="B17" s="44">
        <v>42400</v>
      </c>
      <c r="C17" s="43" t="s">
        <v>10</v>
      </c>
      <c r="D17" s="19"/>
      <c r="E17" s="29"/>
      <c r="F17" s="24">
        <v>41038.99</v>
      </c>
      <c r="G17" s="1">
        <f>SUM(F12:F17)</f>
        <v>102099.28</v>
      </c>
      <c r="H17">
        <v>108923.99</v>
      </c>
      <c r="I17" s="1">
        <f>SUM(G17-H17)</f>
        <v>-6824.7100000000064</v>
      </c>
    </row>
    <row r="18" spans="2:9" x14ac:dyDescent="0.25">
      <c r="B18" s="36">
        <v>42402</v>
      </c>
      <c r="C18" s="21" t="s">
        <v>108</v>
      </c>
      <c r="D18" s="73">
        <v>31625</v>
      </c>
      <c r="E18" s="23"/>
      <c r="F18" s="24">
        <f t="shared" ref="F18:F127" si="1">+F17+D18-E18</f>
        <v>72663.989999999991</v>
      </c>
    </row>
    <row r="19" spans="2:9" x14ac:dyDescent="0.25">
      <c r="B19" s="31">
        <v>42402</v>
      </c>
      <c r="C19" s="25" t="s">
        <v>109</v>
      </c>
      <c r="D19" s="73"/>
      <c r="E19" s="23">
        <v>94</v>
      </c>
      <c r="F19" s="24">
        <f t="shared" si="1"/>
        <v>72569.989999999991</v>
      </c>
    </row>
    <row r="20" spans="2:9" x14ac:dyDescent="0.25">
      <c r="B20" s="31">
        <v>42523</v>
      </c>
      <c r="C20" s="26" t="s">
        <v>110</v>
      </c>
      <c r="D20" s="73"/>
      <c r="E20" s="27">
        <v>1000</v>
      </c>
      <c r="F20" s="24">
        <f t="shared" si="1"/>
        <v>71569.989999999991</v>
      </c>
    </row>
    <row r="21" spans="2:9" x14ac:dyDescent="0.25">
      <c r="B21" s="31">
        <v>42402</v>
      </c>
      <c r="C21" s="25" t="s">
        <v>111</v>
      </c>
      <c r="D21" s="73"/>
      <c r="E21" s="23">
        <v>150</v>
      </c>
      <c r="F21" s="24">
        <f t="shared" si="1"/>
        <v>71419.989999999991</v>
      </c>
    </row>
    <row r="22" spans="2:9" x14ac:dyDescent="0.25">
      <c r="B22" s="31">
        <v>42402</v>
      </c>
      <c r="C22" s="26" t="s">
        <v>112</v>
      </c>
      <c r="D22" s="73"/>
      <c r="E22" s="23">
        <v>350</v>
      </c>
      <c r="F22" s="24">
        <f t="shared" si="1"/>
        <v>71069.989999999991</v>
      </c>
    </row>
    <row r="23" spans="2:9" x14ac:dyDescent="0.25">
      <c r="B23" s="31">
        <v>42402</v>
      </c>
      <c r="C23" s="34" t="s">
        <v>113</v>
      </c>
      <c r="D23" s="73"/>
      <c r="E23" s="27">
        <v>200</v>
      </c>
      <c r="F23" s="24">
        <f t="shared" si="1"/>
        <v>70869.989999999991</v>
      </c>
    </row>
    <row r="24" spans="2:9" x14ac:dyDescent="0.25">
      <c r="B24" s="31">
        <v>42402</v>
      </c>
      <c r="C24" s="25" t="s">
        <v>114</v>
      </c>
      <c r="D24" s="73"/>
      <c r="E24" s="23">
        <v>500</v>
      </c>
      <c r="F24" s="24">
        <f t="shared" si="1"/>
        <v>70369.989999999991</v>
      </c>
    </row>
    <row r="25" spans="2:9" x14ac:dyDescent="0.25">
      <c r="B25" s="31">
        <v>42402</v>
      </c>
      <c r="C25" s="25" t="s">
        <v>115</v>
      </c>
      <c r="D25" s="73"/>
      <c r="E25" s="23">
        <v>35</v>
      </c>
      <c r="F25" s="24">
        <f t="shared" si="1"/>
        <v>70334.989999999991</v>
      </c>
    </row>
    <row r="26" spans="2:9" x14ac:dyDescent="0.25">
      <c r="B26" s="31">
        <v>42403</v>
      </c>
      <c r="C26" s="25" t="s">
        <v>116</v>
      </c>
      <c r="D26" s="73"/>
      <c r="E26" s="23">
        <v>1000</v>
      </c>
      <c r="F26" s="24">
        <f t="shared" si="1"/>
        <v>69334.989999999991</v>
      </c>
    </row>
    <row r="27" spans="2:9" x14ac:dyDescent="0.25">
      <c r="B27" s="31">
        <v>42403</v>
      </c>
      <c r="C27" s="26" t="s">
        <v>117</v>
      </c>
      <c r="D27" s="73"/>
      <c r="E27" s="27">
        <v>143.30000000000001</v>
      </c>
      <c r="F27" s="24">
        <f t="shared" si="1"/>
        <v>69191.689999999988</v>
      </c>
    </row>
    <row r="28" spans="2:9" x14ac:dyDescent="0.25">
      <c r="B28" s="31">
        <v>42403</v>
      </c>
      <c r="C28" s="25" t="s">
        <v>118</v>
      </c>
      <c r="D28" s="73"/>
      <c r="E28" s="23">
        <v>250</v>
      </c>
      <c r="F28" s="24">
        <f t="shared" si="1"/>
        <v>68941.689999999988</v>
      </c>
    </row>
    <row r="29" spans="2:9" x14ac:dyDescent="0.25">
      <c r="B29" s="31">
        <v>42403</v>
      </c>
      <c r="C29" s="25" t="s">
        <v>119</v>
      </c>
      <c r="D29" s="73"/>
      <c r="E29" s="23">
        <v>350</v>
      </c>
      <c r="F29" s="24">
        <f t="shared" si="1"/>
        <v>68591.689999999988</v>
      </c>
    </row>
    <row r="30" spans="2:9" x14ac:dyDescent="0.25">
      <c r="B30" s="31">
        <v>42404</v>
      </c>
      <c r="C30" s="25" t="s">
        <v>120</v>
      </c>
      <c r="D30" s="73"/>
      <c r="E30" s="23">
        <v>5000</v>
      </c>
      <c r="F30" s="24">
        <f t="shared" si="1"/>
        <v>63591.689999999988</v>
      </c>
    </row>
    <row r="31" spans="2:9" x14ac:dyDescent="0.25">
      <c r="B31" s="31">
        <v>42404</v>
      </c>
      <c r="C31" s="25" t="s">
        <v>121</v>
      </c>
      <c r="D31" s="73"/>
      <c r="E31" s="23">
        <v>300</v>
      </c>
      <c r="F31" s="24">
        <f t="shared" si="1"/>
        <v>63291.689999999988</v>
      </c>
    </row>
    <row r="32" spans="2:9" x14ac:dyDescent="0.25">
      <c r="B32" s="31">
        <v>42404</v>
      </c>
      <c r="C32" s="25" t="s">
        <v>115</v>
      </c>
      <c r="D32" s="73"/>
      <c r="E32" s="23">
        <v>48.5</v>
      </c>
      <c r="F32" s="24">
        <f t="shared" si="1"/>
        <v>63243.189999999988</v>
      </c>
    </row>
    <row r="33" spans="2:8" x14ac:dyDescent="0.25">
      <c r="B33" s="31">
        <v>42404</v>
      </c>
      <c r="C33" s="25" t="s">
        <v>122</v>
      </c>
      <c r="D33" s="73"/>
      <c r="E33" s="23">
        <v>180</v>
      </c>
      <c r="F33" s="24">
        <f t="shared" si="1"/>
        <v>63063.189999999988</v>
      </c>
    </row>
    <row r="34" spans="2:8" x14ac:dyDescent="0.25">
      <c r="B34" s="31">
        <v>42404</v>
      </c>
      <c r="C34" s="25" t="s">
        <v>123</v>
      </c>
      <c r="D34" s="73"/>
      <c r="E34" s="23">
        <v>35</v>
      </c>
      <c r="F34" s="24">
        <f t="shared" si="1"/>
        <v>63028.189999999988</v>
      </c>
      <c r="H34" s="1"/>
    </row>
    <row r="35" spans="2:8" x14ac:dyDescent="0.25">
      <c r="B35" s="31">
        <v>42404</v>
      </c>
      <c r="C35" s="25" t="s">
        <v>124</v>
      </c>
      <c r="D35" s="73"/>
      <c r="E35" s="23">
        <v>130</v>
      </c>
      <c r="F35" s="24">
        <f t="shared" si="1"/>
        <v>62898.189999999988</v>
      </c>
      <c r="H35" s="1"/>
    </row>
    <row r="36" spans="2:8" x14ac:dyDescent="0.25">
      <c r="B36" s="31">
        <v>42404</v>
      </c>
      <c r="C36" s="25" t="s">
        <v>125</v>
      </c>
      <c r="D36" s="73"/>
      <c r="E36" s="23">
        <v>88</v>
      </c>
      <c r="F36" s="24">
        <f t="shared" si="1"/>
        <v>62810.189999999988</v>
      </c>
      <c r="H36" s="1"/>
    </row>
    <row r="37" spans="2:8" x14ac:dyDescent="0.25">
      <c r="B37" s="65">
        <v>42405</v>
      </c>
      <c r="C37" s="25" t="s">
        <v>13</v>
      </c>
      <c r="D37" s="73"/>
      <c r="E37" s="23">
        <v>1000</v>
      </c>
      <c r="F37" s="24">
        <f t="shared" si="1"/>
        <v>61810.189999999988</v>
      </c>
    </row>
    <row r="38" spans="2:8" x14ac:dyDescent="0.25">
      <c r="B38" s="65">
        <v>42405</v>
      </c>
      <c r="C38" s="62" t="s">
        <v>70</v>
      </c>
      <c r="D38" s="73"/>
      <c r="E38" s="23">
        <v>192</v>
      </c>
      <c r="F38" s="24">
        <f t="shared" si="1"/>
        <v>61618.189999999988</v>
      </c>
    </row>
    <row r="39" spans="2:8" x14ac:dyDescent="0.25">
      <c r="B39" s="65">
        <v>42405</v>
      </c>
      <c r="C39" s="62" t="s">
        <v>126</v>
      </c>
      <c r="D39" s="73"/>
      <c r="E39" s="23">
        <v>520</v>
      </c>
      <c r="F39" s="24">
        <f t="shared" si="1"/>
        <v>61098.189999999988</v>
      </c>
    </row>
    <row r="40" spans="2:8" x14ac:dyDescent="0.25">
      <c r="B40" s="65">
        <v>42406</v>
      </c>
      <c r="C40" s="62" t="s">
        <v>161</v>
      </c>
      <c r="D40" s="73"/>
      <c r="E40" s="23">
        <v>350</v>
      </c>
      <c r="F40" s="24">
        <f t="shared" si="1"/>
        <v>60748.189999999988</v>
      </c>
    </row>
    <row r="41" spans="2:8" x14ac:dyDescent="0.25">
      <c r="B41" s="65">
        <v>42407</v>
      </c>
      <c r="C41" s="62" t="s">
        <v>127</v>
      </c>
      <c r="D41" s="73"/>
      <c r="E41" s="23">
        <v>120</v>
      </c>
      <c r="F41" s="24">
        <f t="shared" si="1"/>
        <v>60628.189999999988</v>
      </c>
    </row>
    <row r="42" spans="2:8" x14ac:dyDescent="0.25">
      <c r="B42" s="65">
        <v>42408</v>
      </c>
      <c r="C42" s="62" t="s">
        <v>128</v>
      </c>
      <c r="D42" s="73"/>
      <c r="E42" s="23">
        <v>500</v>
      </c>
      <c r="F42" s="24">
        <f t="shared" si="1"/>
        <v>60128.189999999988</v>
      </c>
    </row>
    <row r="43" spans="2:8" x14ac:dyDescent="0.25">
      <c r="B43" s="65">
        <v>42408</v>
      </c>
      <c r="C43" s="62" t="s">
        <v>129</v>
      </c>
      <c r="D43" s="73"/>
      <c r="E43" s="23">
        <v>1400</v>
      </c>
      <c r="F43" s="24">
        <f t="shared" si="1"/>
        <v>58728.189999999988</v>
      </c>
    </row>
    <row r="44" spans="2:8" x14ac:dyDescent="0.25">
      <c r="B44" s="65">
        <v>42408</v>
      </c>
      <c r="C44" s="63" t="s">
        <v>97</v>
      </c>
      <c r="D44" s="73"/>
      <c r="E44" s="23">
        <v>110</v>
      </c>
      <c r="F44" s="24">
        <f t="shared" si="1"/>
        <v>58618.189999999988</v>
      </c>
    </row>
    <row r="45" spans="2:8" x14ac:dyDescent="0.25">
      <c r="B45" s="64">
        <v>42408</v>
      </c>
      <c r="C45" s="62" t="s">
        <v>130</v>
      </c>
      <c r="D45" s="73"/>
      <c r="E45" s="23">
        <v>250</v>
      </c>
      <c r="F45" s="24">
        <f t="shared" si="1"/>
        <v>58368.189999999988</v>
      </c>
    </row>
    <row r="46" spans="2:8" x14ac:dyDescent="0.25">
      <c r="B46" s="66">
        <v>42409</v>
      </c>
      <c r="C46" s="62" t="s">
        <v>131</v>
      </c>
      <c r="D46" s="73"/>
      <c r="E46" s="23">
        <v>320</v>
      </c>
      <c r="F46" s="24">
        <f t="shared" si="1"/>
        <v>58048.189999999988</v>
      </c>
    </row>
    <row r="47" spans="2:8" x14ac:dyDescent="0.25">
      <c r="B47" s="65">
        <v>42409</v>
      </c>
      <c r="C47" s="62" t="s">
        <v>132</v>
      </c>
      <c r="D47" s="73"/>
      <c r="E47" s="23">
        <v>1760</v>
      </c>
      <c r="F47" s="24">
        <f t="shared" si="1"/>
        <v>56288.189999999988</v>
      </c>
    </row>
    <row r="48" spans="2:8" x14ac:dyDescent="0.25">
      <c r="B48" s="74">
        <v>42409</v>
      </c>
      <c r="C48" s="60" t="s">
        <v>133</v>
      </c>
      <c r="D48" s="73"/>
      <c r="E48" s="23">
        <v>1224</v>
      </c>
      <c r="F48" s="24">
        <f t="shared" si="1"/>
        <v>55064.189999999988</v>
      </c>
    </row>
    <row r="49" spans="2:6" x14ac:dyDescent="0.25">
      <c r="B49" s="66">
        <v>42409</v>
      </c>
      <c r="C49" s="62" t="s">
        <v>134</v>
      </c>
      <c r="D49" s="73"/>
      <c r="E49" s="23">
        <v>45</v>
      </c>
      <c r="F49" s="24">
        <f t="shared" si="1"/>
        <v>55019.189999999988</v>
      </c>
    </row>
    <row r="50" spans="2:6" x14ac:dyDescent="0.25">
      <c r="B50" s="65">
        <v>42409</v>
      </c>
      <c r="C50" s="62" t="s">
        <v>135</v>
      </c>
      <c r="D50" s="73"/>
      <c r="E50" s="23">
        <v>100</v>
      </c>
      <c r="F50" s="24">
        <f t="shared" si="1"/>
        <v>54919.189999999988</v>
      </c>
    </row>
    <row r="51" spans="2:6" x14ac:dyDescent="0.25">
      <c r="B51" s="64">
        <v>42409</v>
      </c>
      <c r="C51" s="62" t="s">
        <v>136</v>
      </c>
      <c r="D51" s="73"/>
      <c r="E51" s="23">
        <v>997</v>
      </c>
      <c r="F51" s="24">
        <f t="shared" si="1"/>
        <v>53922.189999999988</v>
      </c>
    </row>
    <row r="52" spans="2:6" x14ac:dyDescent="0.25">
      <c r="B52" s="66">
        <v>42409</v>
      </c>
      <c r="C52" s="62" t="s">
        <v>137</v>
      </c>
      <c r="D52" s="73"/>
      <c r="E52" s="23">
        <v>1000</v>
      </c>
      <c r="F52" s="24">
        <f t="shared" si="1"/>
        <v>52922.189999999988</v>
      </c>
    </row>
    <row r="53" spans="2:6" x14ac:dyDescent="0.25">
      <c r="B53" s="65">
        <v>42409</v>
      </c>
      <c r="C53" s="62" t="s">
        <v>138</v>
      </c>
      <c r="D53" s="73"/>
      <c r="E53" s="23">
        <v>225</v>
      </c>
      <c r="F53" s="24">
        <f t="shared" si="1"/>
        <v>52697.189999999988</v>
      </c>
    </row>
    <row r="54" spans="2:6" x14ac:dyDescent="0.25">
      <c r="B54" s="65">
        <v>42409</v>
      </c>
      <c r="C54" s="62" t="s">
        <v>139</v>
      </c>
      <c r="D54" s="73"/>
      <c r="E54" s="23">
        <v>250</v>
      </c>
      <c r="F54" s="24">
        <f t="shared" si="1"/>
        <v>52447.189999999988</v>
      </c>
    </row>
    <row r="55" spans="2:6" x14ac:dyDescent="0.25">
      <c r="B55" s="65">
        <v>42409</v>
      </c>
      <c r="C55" s="62" t="s">
        <v>140</v>
      </c>
      <c r="D55" s="73"/>
      <c r="E55" s="23">
        <v>263.2</v>
      </c>
      <c r="F55" s="24">
        <f t="shared" si="1"/>
        <v>52183.989999999991</v>
      </c>
    </row>
    <row r="56" spans="2:6" x14ac:dyDescent="0.25">
      <c r="B56" s="65">
        <v>42409</v>
      </c>
      <c r="C56" s="21" t="s">
        <v>160</v>
      </c>
      <c r="D56" s="73">
        <v>28300</v>
      </c>
      <c r="E56" s="23"/>
      <c r="F56" s="24">
        <f t="shared" si="1"/>
        <v>80483.989999999991</v>
      </c>
    </row>
    <row r="57" spans="2:6" x14ac:dyDescent="0.25">
      <c r="B57" s="65">
        <v>42410</v>
      </c>
      <c r="C57" s="62" t="s">
        <v>141</v>
      </c>
      <c r="D57" s="73"/>
      <c r="E57" s="23">
        <v>250</v>
      </c>
      <c r="F57" s="24">
        <f t="shared" si="1"/>
        <v>80233.989999999991</v>
      </c>
    </row>
    <row r="58" spans="2:6" x14ac:dyDescent="0.25">
      <c r="B58" s="67">
        <v>42410</v>
      </c>
      <c r="C58" s="62" t="s">
        <v>142</v>
      </c>
      <c r="D58" s="73"/>
      <c r="E58" s="23">
        <v>5000</v>
      </c>
      <c r="F58" s="24">
        <f t="shared" si="1"/>
        <v>75233.989999999991</v>
      </c>
    </row>
    <row r="59" spans="2:6" x14ac:dyDescent="0.25">
      <c r="B59" s="64">
        <v>42410</v>
      </c>
      <c r="C59" s="62" t="s">
        <v>143</v>
      </c>
      <c r="D59" s="73"/>
      <c r="E59" s="23">
        <v>1000</v>
      </c>
      <c r="F59" s="24">
        <f t="shared" si="1"/>
        <v>74233.989999999991</v>
      </c>
    </row>
    <row r="60" spans="2:6" x14ac:dyDescent="0.25">
      <c r="B60" s="66">
        <v>42410</v>
      </c>
      <c r="C60" s="62" t="s">
        <v>144</v>
      </c>
      <c r="D60" s="73"/>
      <c r="E60" s="23">
        <v>300</v>
      </c>
      <c r="F60" s="24">
        <f t="shared" si="1"/>
        <v>73933.989999999991</v>
      </c>
    </row>
    <row r="61" spans="2:6" x14ac:dyDescent="0.25">
      <c r="B61" s="65">
        <v>42411</v>
      </c>
      <c r="C61" s="63" t="s">
        <v>145</v>
      </c>
      <c r="D61" s="73"/>
      <c r="E61" s="23">
        <v>35.9</v>
      </c>
      <c r="F61" s="24">
        <f t="shared" si="1"/>
        <v>73898.09</v>
      </c>
    </row>
    <row r="62" spans="2:6" x14ac:dyDescent="0.25">
      <c r="B62" s="65">
        <v>42411</v>
      </c>
      <c r="C62" s="62" t="s">
        <v>146</v>
      </c>
      <c r="D62" s="73"/>
      <c r="E62" s="23">
        <v>61.5</v>
      </c>
      <c r="F62" s="24">
        <f t="shared" si="1"/>
        <v>73836.59</v>
      </c>
    </row>
    <row r="63" spans="2:6" x14ac:dyDescent="0.25">
      <c r="B63" s="65">
        <v>42411</v>
      </c>
      <c r="C63" s="62" t="s">
        <v>13</v>
      </c>
      <c r="D63" s="73"/>
      <c r="E63" s="23">
        <v>1000</v>
      </c>
      <c r="F63" s="24">
        <f t="shared" si="1"/>
        <v>72836.59</v>
      </c>
    </row>
    <row r="64" spans="2:6" x14ac:dyDescent="0.25">
      <c r="B64" s="65">
        <v>42411</v>
      </c>
      <c r="C64" s="62" t="s">
        <v>147</v>
      </c>
      <c r="D64" s="73"/>
      <c r="E64" s="23">
        <v>2000</v>
      </c>
      <c r="F64" s="24">
        <f t="shared" si="1"/>
        <v>70836.59</v>
      </c>
    </row>
    <row r="65" spans="2:6" x14ac:dyDescent="0.25">
      <c r="B65" s="65">
        <v>42411</v>
      </c>
      <c r="C65" s="63" t="s">
        <v>148</v>
      </c>
      <c r="D65" s="73"/>
      <c r="E65" s="23">
        <v>751.4</v>
      </c>
      <c r="F65" s="24">
        <f t="shared" si="1"/>
        <v>70085.19</v>
      </c>
    </row>
    <row r="66" spans="2:6" x14ac:dyDescent="0.25">
      <c r="B66" s="65">
        <v>42412</v>
      </c>
      <c r="C66" s="63" t="s">
        <v>149</v>
      </c>
      <c r="D66" s="73"/>
      <c r="E66" s="23">
        <v>270.3</v>
      </c>
      <c r="F66" s="24">
        <f t="shared" si="1"/>
        <v>69814.89</v>
      </c>
    </row>
    <row r="67" spans="2:6" x14ac:dyDescent="0.25">
      <c r="B67" s="65">
        <v>42412</v>
      </c>
      <c r="C67" s="63" t="s">
        <v>150</v>
      </c>
      <c r="D67" s="73"/>
      <c r="E67" s="23">
        <v>55</v>
      </c>
      <c r="F67" s="24">
        <f t="shared" si="1"/>
        <v>69759.89</v>
      </c>
    </row>
    <row r="68" spans="2:6" x14ac:dyDescent="0.25">
      <c r="B68" s="65">
        <v>42412</v>
      </c>
      <c r="C68" s="63" t="s">
        <v>151</v>
      </c>
      <c r="D68" s="73"/>
      <c r="E68" s="23">
        <v>250</v>
      </c>
      <c r="F68" s="24">
        <f t="shared" si="1"/>
        <v>69509.89</v>
      </c>
    </row>
    <row r="69" spans="2:6" x14ac:dyDescent="0.25">
      <c r="B69" s="65">
        <v>42412</v>
      </c>
      <c r="C69" s="63" t="s">
        <v>152</v>
      </c>
      <c r="D69" s="73"/>
      <c r="E69" s="23">
        <v>2000</v>
      </c>
      <c r="F69" s="24">
        <f t="shared" si="1"/>
        <v>67509.89</v>
      </c>
    </row>
    <row r="70" spans="2:6" x14ac:dyDescent="0.25">
      <c r="B70" s="65">
        <v>42412</v>
      </c>
      <c r="C70" s="63" t="s">
        <v>153</v>
      </c>
      <c r="D70" s="73"/>
      <c r="E70" s="23">
        <v>350</v>
      </c>
      <c r="F70" s="24">
        <f t="shared" si="1"/>
        <v>67159.89</v>
      </c>
    </row>
    <row r="71" spans="2:6" x14ac:dyDescent="0.25">
      <c r="B71" s="65">
        <v>42414</v>
      </c>
      <c r="C71" s="62" t="s">
        <v>154</v>
      </c>
      <c r="D71" s="73"/>
      <c r="E71" s="23">
        <v>100</v>
      </c>
      <c r="F71" s="24">
        <f t="shared" si="1"/>
        <v>67059.89</v>
      </c>
    </row>
    <row r="72" spans="2:6" x14ac:dyDescent="0.25">
      <c r="B72" s="65">
        <v>42414</v>
      </c>
      <c r="C72" s="63" t="s">
        <v>146</v>
      </c>
      <c r="D72" s="73"/>
      <c r="E72" s="23">
        <v>90</v>
      </c>
      <c r="F72" s="24">
        <f t="shared" si="1"/>
        <v>66969.89</v>
      </c>
    </row>
    <row r="73" spans="2:6" x14ac:dyDescent="0.25">
      <c r="B73" s="64">
        <v>42414</v>
      </c>
      <c r="C73" s="63" t="s">
        <v>155</v>
      </c>
      <c r="D73" s="73"/>
      <c r="E73" s="23">
        <v>202.52</v>
      </c>
      <c r="F73" s="24">
        <f t="shared" si="1"/>
        <v>66767.37</v>
      </c>
    </row>
    <row r="74" spans="2:6" x14ac:dyDescent="0.25">
      <c r="B74" s="66">
        <v>42415</v>
      </c>
      <c r="C74" s="63" t="s">
        <v>156</v>
      </c>
      <c r="D74" s="73"/>
      <c r="E74" s="23">
        <v>450</v>
      </c>
      <c r="F74" s="24">
        <f t="shared" si="1"/>
        <v>66317.37</v>
      </c>
    </row>
    <row r="75" spans="2:6" x14ac:dyDescent="0.25">
      <c r="B75" s="67">
        <v>42415</v>
      </c>
      <c r="C75" s="63" t="s">
        <v>70</v>
      </c>
      <c r="D75" s="73"/>
      <c r="E75" s="23">
        <v>190</v>
      </c>
      <c r="F75" s="24">
        <f t="shared" si="1"/>
        <v>66127.37</v>
      </c>
    </row>
    <row r="76" spans="2:6" x14ac:dyDescent="0.25">
      <c r="B76" s="67">
        <v>42415</v>
      </c>
      <c r="C76" s="63" t="s">
        <v>162</v>
      </c>
      <c r="D76" s="73"/>
      <c r="E76" s="23">
        <v>385</v>
      </c>
      <c r="F76" s="24">
        <f t="shared" si="1"/>
        <v>65742.37</v>
      </c>
    </row>
    <row r="77" spans="2:6" x14ac:dyDescent="0.25">
      <c r="B77" s="67">
        <v>42415</v>
      </c>
      <c r="C77" s="63" t="s">
        <v>146</v>
      </c>
      <c r="D77" s="73"/>
      <c r="E77" s="23">
        <v>30.5</v>
      </c>
      <c r="F77" s="24">
        <f t="shared" si="1"/>
        <v>65711.87</v>
      </c>
    </row>
    <row r="78" spans="2:6" x14ac:dyDescent="0.25">
      <c r="B78" s="67">
        <v>42415</v>
      </c>
      <c r="C78" s="63" t="s">
        <v>163</v>
      </c>
      <c r="D78" s="73"/>
      <c r="E78" s="23">
        <v>350</v>
      </c>
      <c r="F78" s="24">
        <f t="shared" si="1"/>
        <v>65361.869999999995</v>
      </c>
    </row>
    <row r="79" spans="2:6" x14ac:dyDescent="0.25">
      <c r="B79" s="75">
        <v>42415</v>
      </c>
      <c r="C79" s="25" t="s">
        <v>158</v>
      </c>
      <c r="D79" s="73"/>
      <c r="E79" s="23">
        <v>2700</v>
      </c>
      <c r="F79" s="24">
        <f t="shared" si="1"/>
        <v>62661.869999999995</v>
      </c>
    </row>
    <row r="80" spans="2:6" x14ac:dyDescent="0.25">
      <c r="B80" s="75">
        <v>42415</v>
      </c>
      <c r="C80" s="25" t="s">
        <v>157</v>
      </c>
      <c r="D80" s="73"/>
      <c r="E80" s="23">
        <v>29000</v>
      </c>
      <c r="F80" s="24">
        <f t="shared" si="1"/>
        <v>33661.869999999995</v>
      </c>
    </row>
    <row r="81" spans="2:6" x14ac:dyDescent="0.25">
      <c r="B81" s="75">
        <v>42415</v>
      </c>
      <c r="C81" s="25" t="s">
        <v>159</v>
      </c>
      <c r="D81" s="73"/>
      <c r="E81" s="23">
        <v>4000</v>
      </c>
      <c r="F81" s="24">
        <f t="shared" si="1"/>
        <v>29661.869999999995</v>
      </c>
    </row>
    <row r="82" spans="2:6" x14ac:dyDescent="0.25">
      <c r="B82" s="76">
        <v>42415</v>
      </c>
      <c r="C82" s="21" t="s">
        <v>164</v>
      </c>
      <c r="D82" s="73">
        <v>21549.5</v>
      </c>
      <c r="E82" s="23"/>
      <c r="F82" s="24">
        <f t="shared" si="1"/>
        <v>51211.369999999995</v>
      </c>
    </row>
    <row r="83" spans="2:6" x14ac:dyDescent="0.25">
      <c r="B83" s="76">
        <v>42416</v>
      </c>
      <c r="C83" s="25" t="s">
        <v>165</v>
      </c>
      <c r="D83" s="73"/>
      <c r="E83" s="23">
        <v>550</v>
      </c>
      <c r="F83" s="24">
        <f t="shared" si="1"/>
        <v>50661.369999999995</v>
      </c>
    </row>
    <row r="84" spans="2:6" x14ac:dyDescent="0.25">
      <c r="B84" s="76">
        <v>42416</v>
      </c>
      <c r="C84" s="25" t="s">
        <v>166</v>
      </c>
      <c r="D84" s="73"/>
      <c r="E84" s="23">
        <v>400</v>
      </c>
      <c r="F84" s="24">
        <f t="shared" si="1"/>
        <v>50261.369999999995</v>
      </c>
    </row>
    <row r="85" spans="2:6" x14ac:dyDescent="0.25">
      <c r="B85" s="76">
        <v>42416</v>
      </c>
      <c r="C85" s="25" t="s">
        <v>167</v>
      </c>
      <c r="D85" s="73"/>
      <c r="E85" s="23">
        <v>250</v>
      </c>
      <c r="F85" s="24">
        <f t="shared" si="1"/>
        <v>50011.369999999995</v>
      </c>
    </row>
    <row r="86" spans="2:6" x14ac:dyDescent="0.25">
      <c r="B86" s="76">
        <v>42416</v>
      </c>
      <c r="C86" s="25" t="s">
        <v>168</v>
      </c>
      <c r="D86" s="73"/>
      <c r="E86" s="23">
        <v>400</v>
      </c>
      <c r="F86" s="24">
        <f t="shared" si="1"/>
        <v>49611.369999999995</v>
      </c>
    </row>
    <row r="87" spans="2:6" x14ac:dyDescent="0.25">
      <c r="B87" s="76">
        <v>42417</v>
      </c>
      <c r="C87" s="25" t="s">
        <v>169</v>
      </c>
      <c r="D87" s="73"/>
      <c r="E87" s="23">
        <v>500</v>
      </c>
      <c r="F87" s="24">
        <f t="shared" si="1"/>
        <v>49111.369999999995</v>
      </c>
    </row>
    <row r="88" spans="2:6" x14ac:dyDescent="0.25">
      <c r="B88" s="76">
        <v>42417</v>
      </c>
      <c r="C88" s="25" t="s">
        <v>169</v>
      </c>
      <c r="D88" s="73"/>
      <c r="E88" s="23">
        <v>500</v>
      </c>
      <c r="F88" s="24">
        <f t="shared" si="1"/>
        <v>48611.369999999995</v>
      </c>
    </row>
    <row r="89" spans="2:6" x14ac:dyDescent="0.25">
      <c r="B89" s="76">
        <v>42417</v>
      </c>
      <c r="C89" s="25" t="s">
        <v>145</v>
      </c>
      <c r="D89" s="73"/>
      <c r="E89" s="23">
        <v>312.8</v>
      </c>
      <c r="F89" s="24">
        <f t="shared" si="1"/>
        <v>48298.569999999992</v>
      </c>
    </row>
    <row r="90" spans="2:6" x14ac:dyDescent="0.25">
      <c r="B90" s="76">
        <v>42417</v>
      </c>
      <c r="C90" s="25" t="s">
        <v>145</v>
      </c>
      <c r="D90" s="73"/>
      <c r="E90" s="23">
        <v>895.8</v>
      </c>
      <c r="F90" s="24">
        <f t="shared" si="1"/>
        <v>47402.76999999999</v>
      </c>
    </row>
    <row r="91" spans="2:6" x14ac:dyDescent="0.25">
      <c r="B91" s="76">
        <v>42418</v>
      </c>
      <c r="C91" s="25" t="s">
        <v>170</v>
      </c>
      <c r="D91" s="73"/>
      <c r="E91" s="23">
        <v>273</v>
      </c>
      <c r="F91" s="24">
        <f t="shared" si="1"/>
        <v>47129.76999999999</v>
      </c>
    </row>
    <row r="92" spans="2:6" x14ac:dyDescent="0.25">
      <c r="B92" s="76">
        <v>42418</v>
      </c>
      <c r="C92" s="25" t="s">
        <v>171</v>
      </c>
      <c r="D92" s="73"/>
      <c r="E92" s="23">
        <v>40</v>
      </c>
      <c r="F92" s="24">
        <f t="shared" si="1"/>
        <v>47089.76999999999</v>
      </c>
    </row>
    <row r="93" spans="2:6" x14ac:dyDescent="0.25">
      <c r="B93" s="76">
        <v>42418</v>
      </c>
      <c r="C93" s="25" t="s">
        <v>172</v>
      </c>
      <c r="D93" s="73"/>
      <c r="E93" s="23">
        <v>300</v>
      </c>
      <c r="F93" s="24">
        <f t="shared" si="1"/>
        <v>46789.76999999999</v>
      </c>
    </row>
    <row r="94" spans="2:6" x14ac:dyDescent="0.25">
      <c r="B94" s="76">
        <v>42418</v>
      </c>
      <c r="C94" s="25" t="s">
        <v>154</v>
      </c>
      <c r="D94" s="73"/>
      <c r="E94" s="23">
        <v>150</v>
      </c>
      <c r="F94" s="24">
        <f t="shared" si="1"/>
        <v>46639.76999999999</v>
      </c>
    </row>
    <row r="95" spans="2:6" x14ac:dyDescent="0.25">
      <c r="B95" s="76">
        <v>42419</v>
      </c>
      <c r="C95" s="25" t="s">
        <v>188</v>
      </c>
      <c r="D95" s="73"/>
      <c r="E95" s="23">
        <v>100</v>
      </c>
      <c r="F95" s="24">
        <f t="shared" si="1"/>
        <v>46539.76999999999</v>
      </c>
    </row>
    <row r="96" spans="2:6" x14ac:dyDescent="0.25">
      <c r="B96" s="76">
        <v>42419</v>
      </c>
      <c r="C96" s="25" t="s">
        <v>189</v>
      </c>
      <c r="D96" s="73"/>
      <c r="E96" s="23">
        <v>350</v>
      </c>
      <c r="F96" s="24">
        <f t="shared" si="1"/>
        <v>46189.76999999999</v>
      </c>
    </row>
    <row r="97" spans="2:6" x14ac:dyDescent="0.25">
      <c r="B97" s="76">
        <v>42419</v>
      </c>
      <c r="C97" s="25" t="s">
        <v>190</v>
      </c>
      <c r="D97" s="73"/>
      <c r="E97" s="23">
        <v>350</v>
      </c>
      <c r="F97" s="24">
        <f t="shared" si="1"/>
        <v>45839.76999999999</v>
      </c>
    </row>
    <row r="98" spans="2:6" x14ac:dyDescent="0.25">
      <c r="B98" s="76">
        <v>42419</v>
      </c>
      <c r="C98" s="25" t="s">
        <v>191</v>
      </c>
      <c r="D98" s="73"/>
      <c r="E98" s="23">
        <v>1500</v>
      </c>
      <c r="F98" s="24">
        <f t="shared" si="1"/>
        <v>44339.76999999999</v>
      </c>
    </row>
    <row r="99" spans="2:6" x14ac:dyDescent="0.25">
      <c r="B99" s="76">
        <v>42419</v>
      </c>
      <c r="C99" s="25" t="s">
        <v>97</v>
      </c>
      <c r="D99" s="73"/>
      <c r="E99" s="23">
        <v>110</v>
      </c>
      <c r="F99" s="24">
        <f t="shared" si="1"/>
        <v>44229.76999999999</v>
      </c>
    </row>
    <row r="100" spans="2:6" x14ac:dyDescent="0.25">
      <c r="B100" s="76">
        <v>42419</v>
      </c>
      <c r="C100" s="25" t="s">
        <v>13</v>
      </c>
      <c r="D100" s="73"/>
      <c r="E100" s="23">
        <v>1000</v>
      </c>
      <c r="F100" s="24">
        <f t="shared" si="1"/>
        <v>43229.76999999999</v>
      </c>
    </row>
    <row r="101" spans="2:6" x14ac:dyDescent="0.25">
      <c r="B101" s="76">
        <v>42419</v>
      </c>
      <c r="C101" s="25" t="s">
        <v>192</v>
      </c>
      <c r="D101" s="73"/>
      <c r="E101" s="23">
        <v>400</v>
      </c>
      <c r="F101" s="24">
        <f t="shared" si="1"/>
        <v>42829.76999999999</v>
      </c>
    </row>
    <row r="102" spans="2:6" x14ac:dyDescent="0.25">
      <c r="B102" s="41">
        <v>42419</v>
      </c>
      <c r="C102" s="25" t="s">
        <v>149</v>
      </c>
      <c r="D102" s="73"/>
      <c r="E102" s="23">
        <v>488.79</v>
      </c>
      <c r="F102" s="24">
        <f t="shared" si="1"/>
        <v>42340.979999999989</v>
      </c>
    </row>
    <row r="103" spans="2:6" x14ac:dyDescent="0.25">
      <c r="B103" s="41">
        <v>42419</v>
      </c>
      <c r="C103" s="25" t="s">
        <v>149</v>
      </c>
      <c r="D103" s="73"/>
      <c r="E103" s="23">
        <v>20</v>
      </c>
      <c r="F103" s="24">
        <f t="shared" si="1"/>
        <v>42320.979999999989</v>
      </c>
    </row>
    <row r="104" spans="2:6" x14ac:dyDescent="0.25">
      <c r="B104" s="41">
        <v>42420</v>
      </c>
      <c r="C104" s="25" t="s">
        <v>193</v>
      </c>
      <c r="D104" s="73"/>
      <c r="E104" s="23">
        <v>263.2</v>
      </c>
      <c r="F104" s="24">
        <f t="shared" si="1"/>
        <v>42057.779999999992</v>
      </c>
    </row>
    <row r="105" spans="2:6" x14ac:dyDescent="0.25">
      <c r="B105" s="41">
        <v>42421</v>
      </c>
      <c r="C105" s="25" t="s">
        <v>146</v>
      </c>
      <c r="D105" s="73"/>
      <c r="E105" s="23">
        <v>63</v>
      </c>
      <c r="F105" s="24">
        <f t="shared" si="1"/>
        <v>41994.779999999992</v>
      </c>
    </row>
    <row r="106" spans="2:6" x14ac:dyDescent="0.25">
      <c r="B106" s="41">
        <v>42421</v>
      </c>
      <c r="C106" s="25" t="s">
        <v>194</v>
      </c>
      <c r="D106" s="73"/>
      <c r="E106" s="23">
        <v>79.2</v>
      </c>
      <c r="F106" s="24">
        <f t="shared" si="1"/>
        <v>41915.579999999994</v>
      </c>
    </row>
    <row r="107" spans="2:6" x14ac:dyDescent="0.25">
      <c r="B107" s="41">
        <v>42422</v>
      </c>
      <c r="C107" s="25" t="s">
        <v>97</v>
      </c>
      <c r="D107" s="73"/>
      <c r="E107" s="23">
        <v>110</v>
      </c>
      <c r="F107" s="24">
        <f t="shared" si="1"/>
        <v>41805.579999999994</v>
      </c>
    </row>
    <row r="108" spans="2:6" x14ac:dyDescent="0.25">
      <c r="B108" s="41">
        <v>42422</v>
      </c>
      <c r="C108" s="25" t="s">
        <v>195</v>
      </c>
      <c r="D108" s="73"/>
      <c r="E108" s="23">
        <v>20</v>
      </c>
      <c r="F108" s="24">
        <f t="shared" si="1"/>
        <v>41785.579999999994</v>
      </c>
    </row>
    <row r="109" spans="2:6" x14ac:dyDescent="0.25">
      <c r="B109" s="41">
        <v>42424</v>
      </c>
      <c r="C109" s="21" t="s">
        <v>196</v>
      </c>
      <c r="D109" s="73">
        <v>15180</v>
      </c>
      <c r="E109" s="23"/>
      <c r="F109" s="24">
        <f t="shared" si="1"/>
        <v>56965.579999999994</v>
      </c>
    </row>
    <row r="110" spans="2:6" x14ac:dyDescent="0.25">
      <c r="B110" s="41">
        <v>42424</v>
      </c>
      <c r="C110" s="25" t="s">
        <v>197</v>
      </c>
      <c r="D110" s="73"/>
      <c r="E110" s="23">
        <v>1200</v>
      </c>
      <c r="F110" s="24">
        <f t="shared" si="1"/>
        <v>55765.579999999994</v>
      </c>
    </row>
    <row r="111" spans="2:6" x14ac:dyDescent="0.25">
      <c r="B111" s="41">
        <v>42424</v>
      </c>
      <c r="C111" s="25" t="s">
        <v>198</v>
      </c>
      <c r="D111" s="73"/>
      <c r="E111" s="23">
        <v>360</v>
      </c>
      <c r="F111" s="24">
        <f t="shared" si="1"/>
        <v>55405.579999999994</v>
      </c>
    </row>
    <row r="112" spans="2:6" x14ac:dyDescent="0.25">
      <c r="B112" s="41">
        <v>42425</v>
      </c>
      <c r="C112" s="25" t="s">
        <v>199</v>
      </c>
      <c r="D112" s="73"/>
      <c r="E112" s="23">
        <v>1500</v>
      </c>
      <c r="F112" s="24">
        <f t="shared" si="1"/>
        <v>53905.579999999994</v>
      </c>
    </row>
    <row r="113" spans="2:6" x14ac:dyDescent="0.25">
      <c r="B113" s="41">
        <v>42425</v>
      </c>
      <c r="C113" s="25" t="s">
        <v>200</v>
      </c>
      <c r="D113" s="73"/>
      <c r="E113" s="23">
        <v>400</v>
      </c>
      <c r="F113" s="24">
        <f t="shared" si="1"/>
        <v>53505.579999999994</v>
      </c>
    </row>
    <row r="114" spans="2:6" x14ac:dyDescent="0.25">
      <c r="B114" s="41">
        <v>42426</v>
      </c>
      <c r="C114" s="25" t="s">
        <v>17</v>
      </c>
      <c r="D114" s="73"/>
      <c r="E114" s="23">
        <v>110</v>
      </c>
      <c r="F114" s="24">
        <f t="shared" si="1"/>
        <v>53395.579999999994</v>
      </c>
    </row>
    <row r="115" spans="2:6" x14ac:dyDescent="0.25">
      <c r="B115" s="41">
        <v>42426</v>
      </c>
      <c r="C115" s="25" t="s">
        <v>13</v>
      </c>
      <c r="D115" s="73"/>
      <c r="E115" s="23">
        <v>1000</v>
      </c>
      <c r="F115" s="24">
        <f t="shared" si="1"/>
        <v>52395.579999999994</v>
      </c>
    </row>
    <row r="116" spans="2:6" x14ac:dyDescent="0.25">
      <c r="B116" s="41">
        <v>42426</v>
      </c>
      <c r="C116" s="25" t="s">
        <v>201</v>
      </c>
      <c r="D116" s="73"/>
      <c r="E116" s="23">
        <v>925</v>
      </c>
      <c r="F116" s="24">
        <f t="shared" si="1"/>
        <v>51470.579999999994</v>
      </c>
    </row>
    <row r="117" spans="2:6" x14ac:dyDescent="0.25">
      <c r="B117" s="41">
        <v>42429</v>
      </c>
      <c r="C117" s="25" t="s">
        <v>154</v>
      </c>
      <c r="D117" s="73"/>
      <c r="E117" s="23">
        <v>100</v>
      </c>
      <c r="F117" s="24">
        <f t="shared" si="1"/>
        <v>51370.579999999994</v>
      </c>
    </row>
    <row r="118" spans="2:6" x14ac:dyDescent="0.25">
      <c r="B118" s="31">
        <v>42429</v>
      </c>
      <c r="C118" s="25" t="s">
        <v>202</v>
      </c>
      <c r="D118" s="73"/>
      <c r="E118" s="23">
        <v>450</v>
      </c>
      <c r="F118" s="24">
        <f t="shared" si="1"/>
        <v>50920.579999999994</v>
      </c>
    </row>
    <row r="119" spans="2:6" x14ac:dyDescent="0.25">
      <c r="B119" s="31">
        <v>42429</v>
      </c>
      <c r="C119" s="25" t="s">
        <v>203</v>
      </c>
      <c r="D119" s="73"/>
      <c r="E119" s="23">
        <v>650</v>
      </c>
      <c r="F119" s="24">
        <f t="shared" si="1"/>
        <v>50270.579999999994</v>
      </c>
    </row>
    <row r="120" spans="2:6" x14ac:dyDescent="0.25">
      <c r="B120" s="31">
        <v>42429</v>
      </c>
      <c r="C120" s="25" t="s">
        <v>17</v>
      </c>
      <c r="D120" s="73"/>
      <c r="E120" s="23">
        <v>110</v>
      </c>
      <c r="F120" s="24">
        <f t="shared" si="1"/>
        <v>50160.579999999994</v>
      </c>
    </row>
    <row r="121" spans="2:6" x14ac:dyDescent="0.25">
      <c r="B121" s="31">
        <v>42429</v>
      </c>
      <c r="C121" s="25" t="s">
        <v>115</v>
      </c>
      <c r="D121" s="73"/>
      <c r="E121" s="23">
        <v>46</v>
      </c>
      <c r="F121" s="24">
        <f t="shared" si="1"/>
        <v>50114.579999999994</v>
      </c>
    </row>
    <row r="122" spans="2:6" x14ac:dyDescent="0.25">
      <c r="B122" s="31">
        <v>42429</v>
      </c>
      <c r="C122" s="25" t="s">
        <v>115</v>
      </c>
      <c r="D122" s="73"/>
      <c r="E122" s="23">
        <v>105.5</v>
      </c>
      <c r="F122" s="24">
        <f t="shared" si="1"/>
        <v>50009.079999999994</v>
      </c>
    </row>
    <row r="123" spans="2:6" x14ac:dyDescent="0.25">
      <c r="B123" s="31">
        <v>42429</v>
      </c>
      <c r="C123" s="25" t="s">
        <v>207</v>
      </c>
      <c r="D123" s="73"/>
      <c r="E123" s="23">
        <v>800</v>
      </c>
      <c r="F123" s="24">
        <f t="shared" si="1"/>
        <v>49209.079999999994</v>
      </c>
    </row>
    <row r="124" spans="2:6" x14ac:dyDescent="0.25">
      <c r="B124" s="31">
        <v>42429</v>
      </c>
      <c r="C124" s="25" t="s">
        <v>206</v>
      </c>
      <c r="D124" s="73"/>
      <c r="E124" s="23">
        <v>2700</v>
      </c>
      <c r="F124" s="24">
        <f t="shared" si="1"/>
        <v>46509.079999999994</v>
      </c>
    </row>
    <row r="125" spans="2:6" x14ac:dyDescent="0.25">
      <c r="B125" s="31">
        <v>42429</v>
      </c>
      <c r="C125" s="25" t="s">
        <v>205</v>
      </c>
      <c r="D125" s="73"/>
      <c r="E125" s="23">
        <v>29000</v>
      </c>
      <c r="F125" s="24">
        <f t="shared" si="1"/>
        <v>17509.079999999994</v>
      </c>
    </row>
    <row r="126" spans="2:6" x14ac:dyDescent="0.25">
      <c r="B126" s="31">
        <v>42429</v>
      </c>
      <c r="C126" s="25" t="s">
        <v>204</v>
      </c>
      <c r="D126" s="73"/>
      <c r="E126" s="23">
        <v>4000</v>
      </c>
      <c r="F126" s="24">
        <f t="shared" si="1"/>
        <v>13509.079999999994</v>
      </c>
    </row>
    <row r="127" spans="2:6" ht="15.75" thickBot="1" x14ac:dyDescent="0.3">
      <c r="B127" s="31">
        <v>42429</v>
      </c>
      <c r="C127" s="25" t="s">
        <v>328</v>
      </c>
      <c r="D127" s="73">
        <v>17930</v>
      </c>
      <c r="E127" s="23"/>
      <c r="F127" s="24">
        <f t="shared" si="1"/>
        <v>31439.079999999994</v>
      </c>
    </row>
    <row r="128" spans="2:6" ht="15.75" thickBot="1" x14ac:dyDescent="0.3">
      <c r="B128" s="13"/>
      <c r="C128" s="16" t="s">
        <v>0</v>
      </c>
      <c r="D128" s="14">
        <f>SUM(D17:D127)</f>
        <v>114584.5</v>
      </c>
      <c r="E128" s="14">
        <f>SUM(E17:E127)</f>
        <v>124184.40999999999</v>
      </c>
      <c r="F128" s="33"/>
    </row>
    <row r="129" spans="2:6" x14ac:dyDescent="0.25">
      <c r="B129" s="5"/>
      <c r="C129" s="49" t="s">
        <v>1120</v>
      </c>
      <c r="D129" s="4"/>
      <c r="E129" s="50"/>
      <c r="F129" s="24">
        <v>24209.58</v>
      </c>
    </row>
    <row r="130" spans="2:6" x14ac:dyDescent="0.25">
      <c r="B130" s="31"/>
      <c r="C130" s="22" t="s">
        <v>33</v>
      </c>
      <c r="D130" s="23"/>
      <c r="E130" s="23"/>
      <c r="F130" s="24"/>
    </row>
    <row r="131" spans="2:6" x14ac:dyDescent="0.25">
      <c r="B131" s="31">
        <v>42360</v>
      </c>
      <c r="C131" s="21" t="s">
        <v>85</v>
      </c>
      <c r="D131" s="23">
        <v>10583.18</v>
      </c>
      <c r="E131" s="23"/>
      <c r="F131" s="24">
        <v>10583.18</v>
      </c>
    </row>
    <row r="132" spans="2:6" x14ac:dyDescent="0.25">
      <c r="B132" s="31">
        <v>42380</v>
      </c>
      <c r="C132" s="46" t="s">
        <v>84</v>
      </c>
      <c r="D132" s="28">
        <v>1600</v>
      </c>
      <c r="E132" s="28"/>
      <c r="F132" s="24">
        <f>+F131+D132-E132</f>
        <v>12183.18</v>
      </c>
    </row>
    <row r="133" spans="2:6" x14ac:dyDescent="0.25">
      <c r="B133" s="72">
        <v>42380</v>
      </c>
      <c r="C133" s="46" t="s">
        <v>34</v>
      </c>
      <c r="D133" s="71">
        <v>23400</v>
      </c>
      <c r="E133" s="28"/>
      <c r="F133" s="24">
        <f>+F132+D133-E133</f>
        <v>35583.18</v>
      </c>
    </row>
    <row r="134" spans="2:6" x14ac:dyDescent="0.25">
      <c r="B134" s="31">
        <v>42382</v>
      </c>
      <c r="C134" s="46" t="s">
        <v>35</v>
      </c>
      <c r="D134" s="28">
        <v>4400</v>
      </c>
      <c r="E134" s="28"/>
      <c r="F134" s="24">
        <f t="shared" ref="F134:F141" si="2">+F133+D134-E134</f>
        <v>39983.18</v>
      </c>
    </row>
    <row r="135" spans="2:6" x14ac:dyDescent="0.25">
      <c r="B135" s="31">
        <v>42382</v>
      </c>
      <c r="C135" s="46" t="s">
        <v>36</v>
      </c>
      <c r="D135" s="28">
        <v>1500</v>
      </c>
      <c r="E135" s="28"/>
      <c r="F135" s="24">
        <f t="shared" si="2"/>
        <v>41483.18</v>
      </c>
    </row>
    <row r="136" spans="2:6" x14ac:dyDescent="0.25">
      <c r="B136" s="31">
        <v>42386</v>
      </c>
      <c r="C136" s="46" t="s">
        <v>107</v>
      </c>
      <c r="D136" s="28">
        <v>800</v>
      </c>
      <c r="E136" s="28"/>
      <c r="F136" s="24">
        <f t="shared" si="2"/>
        <v>42283.18</v>
      </c>
    </row>
    <row r="137" spans="2:6" x14ac:dyDescent="0.25">
      <c r="B137" s="31">
        <v>42386</v>
      </c>
      <c r="C137" s="46" t="s">
        <v>37</v>
      </c>
      <c r="D137" s="28">
        <v>1200</v>
      </c>
      <c r="E137" s="28"/>
      <c r="F137" s="24">
        <f t="shared" si="2"/>
        <v>43483.18</v>
      </c>
    </row>
    <row r="138" spans="2:6" x14ac:dyDescent="0.25">
      <c r="B138" s="31">
        <v>42397</v>
      </c>
      <c r="C138" s="46" t="s">
        <v>86</v>
      </c>
      <c r="D138" s="28">
        <v>12760</v>
      </c>
      <c r="E138" s="28"/>
      <c r="F138" s="24">
        <f t="shared" si="2"/>
        <v>56243.18</v>
      </c>
    </row>
    <row r="139" spans="2:6" x14ac:dyDescent="0.25">
      <c r="B139" s="31"/>
      <c r="C139" s="46"/>
      <c r="D139" s="28">
        <v>4400</v>
      </c>
      <c r="E139" s="28"/>
      <c r="F139" s="24">
        <f t="shared" si="2"/>
        <v>60643.18</v>
      </c>
    </row>
    <row r="140" spans="2:6" x14ac:dyDescent="0.25">
      <c r="B140" s="31"/>
      <c r="C140" s="46"/>
      <c r="D140" s="28">
        <v>400.29</v>
      </c>
      <c r="E140" s="28"/>
      <c r="F140" s="24">
        <f t="shared" si="2"/>
        <v>61043.47</v>
      </c>
    </row>
    <row r="141" spans="2:6" x14ac:dyDescent="0.25">
      <c r="B141" s="31"/>
      <c r="C141" s="46"/>
      <c r="D141" s="28"/>
      <c r="E141" s="28"/>
      <c r="F141" s="24">
        <f t="shared" si="2"/>
        <v>61043.47</v>
      </c>
    </row>
    <row r="142" spans="2:6" x14ac:dyDescent="0.25">
      <c r="C142" t="s">
        <v>1121</v>
      </c>
      <c r="D142" s="2"/>
      <c r="E142" s="3"/>
      <c r="F142" s="24">
        <v>61060.29</v>
      </c>
    </row>
    <row r="143" spans="2:6" x14ac:dyDescent="0.25">
      <c r="D143" s="2"/>
      <c r="E143" s="3"/>
    </row>
    <row r="144" spans="2:6" x14ac:dyDescent="0.25">
      <c r="D144" s="2"/>
      <c r="E144" s="3"/>
    </row>
    <row r="145" spans="4:5" x14ac:dyDescent="0.25">
      <c r="D145" s="2"/>
      <c r="E145" s="3"/>
    </row>
    <row r="146" spans="4:5" x14ac:dyDescent="0.25">
      <c r="D146" s="2"/>
      <c r="E146" s="3"/>
    </row>
    <row r="147" spans="4:5" x14ac:dyDescent="0.25">
      <c r="D147" s="2"/>
      <c r="E147" s="3"/>
    </row>
    <row r="148" spans="4:5" x14ac:dyDescent="0.25">
      <c r="D148" s="2"/>
      <c r="E148" s="3"/>
    </row>
    <row r="149" spans="4:5" x14ac:dyDescent="0.25">
      <c r="D149" s="2"/>
      <c r="E149" s="3"/>
    </row>
    <row r="150" spans="4:5" x14ac:dyDescent="0.25">
      <c r="D150" s="2"/>
      <c r="E150" s="3"/>
    </row>
    <row r="151" spans="4:5" x14ac:dyDescent="0.25">
      <c r="D151" s="2"/>
      <c r="E151" s="3"/>
    </row>
    <row r="152" spans="4:5" x14ac:dyDescent="0.25">
      <c r="D152" s="2"/>
      <c r="E152" s="3"/>
    </row>
    <row r="153" spans="4:5" x14ac:dyDescent="0.25">
      <c r="D153" s="2"/>
      <c r="E153" s="3"/>
    </row>
    <row r="154" spans="4:5" x14ac:dyDescent="0.25">
      <c r="D154" s="1"/>
    </row>
    <row r="155" spans="4:5" x14ac:dyDescent="0.25">
      <c r="D155" s="1"/>
    </row>
    <row r="156" spans="4:5" x14ac:dyDescent="0.25">
      <c r="D156" s="1"/>
    </row>
    <row r="157" spans="4:5" x14ac:dyDescent="0.25">
      <c r="D157" s="1"/>
    </row>
    <row r="158" spans="4:5" x14ac:dyDescent="0.25">
      <c r="D158" s="1"/>
    </row>
    <row r="159" spans="4:5" x14ac:dyDescent="0.25">
      <c r="D159" s="1"/>
    </row>
    <row r="160" spans="4:5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</sheetData>
  <mergeCells count="1">
    <mergeCell ref="B14:F14"/>
  </mergeCells>
  <printOptions verticalCentered="1"/>
  <pageMargins left="0.43307086614173229" right="0.23622047244094488" top="0.74803149606299213" bottom="0.74803149606299213" header="0.31496062992125984" footer="0.31496062992125984"/>
  <pageSetup paperSize="9" scale="88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36"/>
  <sheetViews>
    <sheetView topLeftCell="B1" zoomScale="90" zoomScaleNormal="90" workbookViewId="0">
      <pane ySplit="3" topLeftCell="A4" activePane="bottomLeft" state="frozen"/>
      <selection pane="bottomLeft" activeCell="B9" sqref="B9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6" width="11.7109375" customWidth="1"/>
    <col min="8" max="8" width="11.42578125" customWidth="1"/>
  </cols>
  <sheetData>
    <row r="1" spans="2:11" ht="15.75" thickBot="1" x14ac:dyDescent="0.3">
      <c r="B1" s="125"/>
      <c r="C1" s="145" t="s">
        <v>1122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1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42643</v>
      </c>
      <c r="C4" s="108" t="s">
        <v>208</v>
      </c>
      <c r="D4" s="109"/>
      <c r="E4" s="106"/>
      <c r="F4" s="106"/>
      <c r="G4" s="106"/>
      <c r="H4" s="30"/>
      <c r="I4" s="107"/>
      <c r="J4" s="116">
        <v>43500</v>
      </c>
      <c r="K4" s="143">
        <v>41038.99</v>
      </c>
    </row>
    <row r="5" spans="2:11" x14ac:dyDescent="0.25">
      <c r="B5" s="36">
        <v>42411</v>
      </c>
      <c r="C5" s="108" t="s">
        <v>1123</v>
      </c>
      <c r="D5" s="109"/>
      <c r="E5" s="106"/>
      <c r="F5" s="106"/>
      <c r="G5" s="106"/>
      <c r="H5" s="30"/>
      <c r="I5" s="107"/>
      <c r="J5" s="24">
        <f>+J4+E5-G5</f>
        <v>43500</v>
      </c>
      <c r="K5" s="24">
        <f t="shared" ref="K5" si="0">+K4+D5-H5</f>
        <v>41038.99</v>
      </c>
    </row>
    <row r="6" spans="2:11" x14ac:dyDescent="0.25">
      <c r="B6" s="36">
        <v>42402</v>
      </c>
      <c r="C6" s="21" t="s">
        <v>108</v>
      </c>
      <c r="D6" s="73"/>
      <c r="E6" s="23"/>
      <c r="F6" s="23"/>
      <c r="G6" s="23"/>
      <c r="H6" s="23"/>
      <c r="I6" s="27"/>
      <c r="J6" s="24">
        <f t="shared" ref="J6:J50" si="1">+J5+E6-G6</f>
        <v>43500</v>
      </c>
      <c r="K6" s="24">
        <f t="shared" ref="K6:K50" si="2">+K5+D6-H6</f>
        <v>41038.99</v>
      </c>
    </row>
    <row r="7" spans="2:11" x14ac:dyDescent="0.25">
      <c r="B7" s="31">
        <v>42402</v>
      </c>
      <c r="C7" s="25" t="s">
        <v>109</v>
      </c>
      <c r="D7" s="73"/>
      <c r="E7" s="23"/>
      <c r="F7" s="23"/>
      <c r="G7" s="23"/>
      <c r="H7" s="23">
        <v>94</v>
      </c>
      <c r="I7" s="27"/>
      <c r="J7" s="24">
        <f t="shared" si="1"/>
        <v>43500</v>
      </c>
      <c r="K7" s="24">
        <f t="shared" si="2"/>
        <v>40944.99</v>
      </c>
    </row>
    <row r="8" spans="2:11" x14ac:dyDescent="0.25">
      <c r="B8" s="31">
        <v>42402</v>
      </c>
      <c r="C8" s="26" t="s">
        <v>110</v>
      </c>
      <c r="D8" s="73"/>
      <c r="E8" s="23"/>
      <c r="F8" s="23"/>
      <c r="G8" s="23"/>
      <c r="H8" s="27">
        <v>1000</v>
      </c>
      <c r="I8" s="27"/>
      <c r="J8" s="24">
        <f t="shared" si="1"/>
        <v>43500</v>
      </c>
      <c r="K8" s="24">
        <f t="shared" si="2"/>
        <v>39944.99</v>
      </c>
    </row>
    <row r="9" spans="2:11" x14ac:dyDescent="0.25">
      <c r="B9" s="31">
        <v>42402</v>
      </c>
      <c r="C9" s="25" t="s">
        <v>111</v>
      </c>
      <c r="D9" s="73"/>
      <c r="E9" s="23"/>
      <c r="F9" s="23"/>
      <c r="G9" s="23"/>
      <c r="H9" s="23">
        <v>150</v>
      </c>
      <c r="I9" s="27"/>
      <c r="J9" s="24">
        <f t="shared" si="1"/>
        <v>43500</v>
      </c>
      <c r="K9" s="24">
        <f t="shared" si="2"/>
        <v>39794.99</v>
      </c>
    </row>
    <row r="10" spans="2:11" x14ac:dyDescent="0.25">
      <c r="B10" s="31">
        <v>42402</v>
      </c>
      <c r="C10" s="26" t="s">
        <v>112</v>
      </c>
      <c r="D10" s="73"/>
      <c r="E10" s="23"/>
      <c r="F10" s="23"/>
      <c r="G10" s="23"/>
      <c r="H10" s="23">
        <v>350</v>
      </c>
      <c r="I10" s="27"/>
      <c r="J10" s="24">
        <f t="shared" si="1"/>
        <v>43500</v>
      </c>
      <c r="K10" s="24">
        <f t="shared" si="2"/>
        <v>39444.99</v>
      </c>
    </row>
    <row r="11" spans="2:11" x14ac:dyDescent="0.25">
      <c r="B11" s="31">
        <v>42402</v>
      </c>
      <c r="C11" s="34" t="s">
        <v>113</v>
      </c>
      <c r="D11" s="73"/>
      <c r="E11" s="23"/>
      <c r="F11" s="23"/>
      <c r="G11" s="23"/>
      <c r="H11" s="27">
        <v>200</v>
      </c>
      <c r="I11" s="27"/>
      <c r="J11" s="24">
        <f t="shared" si="1"/>
        <v>43500</v>
      </c>
      <c r="K11" s="24">
        <f t="shared" si="2"/>
        <v>39244.99</v>
      </c>
    </row>
    <row r="12" spans="2:11" x14ac:dyDescent="0.25">
      <c r="B12" s="31">
        <v>42402</v>
      </c>
      <c r="C12" s="25" t="s">
        <v>114</v>
      </c>
      <c r="D12" s="73"/>
      <c r="E12" s="23"/>
      <c r="F12" s="23"/>
      <c r="G12" s="23"/>
      <c r="H12" s="23">
        <v>500</v>
      </c>
      <c r="I12" s="27"/>
      <c r="J12" s="24">
        <f t="shared" si="1"/>
        <v>43500</v>
      </c>
      <c r="K12" s="24">
        <f t="shared" si="2"/>
        <v>38744.99</v>
      </c>
    </row>
    <row r="13" spans="2:11" x14ac:dyDescent="0.25">
      <c r="B13" s="31">
        <v>42402</v>
      </c>
      <c r="C13" s="25" t="s">
        <v>115</v>
      </c>
      <c r="D13" s="73"/>
      <c r="E13" s="23"/>
      <c r="F13" s="23"/>
      <c r="G13" s="23"/>
      <c r="H13" s="23">
        <v>35</v>
      </c>
      <c r="I13" s="27"/>
      <c r="J13" s="24">
        <f t="shared" si="1"/>
        <v>43500</v>
      </c>
      <c r="K13" s="24">
        <f t="shared" si="2"/>
        <v>38709.99</v>
      </c>
    </row>
    <row r="14" spans="2:11" x14ac:dyDescent="0.25">
      <c r="B14" s="31">
        <v>42403</v>
      </c>
      <c r="C14" s="25" t="s">
        <v>116</v>
      </c>
      <c r="D14" s="73"/>
      <c r="E14" s="23"/>
      <c r="F14" s="23"/>
      <c r="G14" s="23"/>
      <c r="H14" s="23">
        <v>1000</v>
      </c>
      <c r="I14" s="27"/>
      <c r="J14" s="24">
        <f t="shared" si="1"/>
        <v>43500</v>
      </c>
      <c r="K14" s="24">
        <f t="shared" si="2"/>
        <v>37709.99</v>
      </c>
    </row>
    <row r="15" spans="2:11" x14ac:dyDescent="0.25">
      <c r="B15" s="31">
        <v>42403</v>
      </c>
      <c r="C15" s="26" t="s">
        <v>117</v>
      </c>
      <c r="D15" s="73"/>
      <c r="E15" s="23"/>
      <c r="F15" s="23"/>
      <c r="G15" s="23"/>
      <c r="H15" s="27">
        <v>143.30000000000001</v>
      </c>
      <c r="I15" s="27"/>
      <c r="J15" s="24">
        <f t="shared" si="1"/>
        <v>43500</v>
      </c>
      <c r="K15" s="24">
        <f t="shared" si="2"/>
        <v>37566.689999999995</v>
      </c>
    </row>
    <row r="16" spans="2:11" x14ac:dyDescent="0.25">
      <c r="B16" s="31">
        <v>42403</v>
      </c>
      <c r="C16" s="25" t="s">
        <v>118</v>
      </c>
      <c r="D16" s="73"/>
      <c r="E16" s="23"/>
      <c r="F16" s="23"/>
      <c r="G16" s="23"/>
      <c r="H16" s="23">
        <v>250</v>
      </c>
      <c r="I16" s="27"/>
      <c r="J16" s="24">
        <f t="shared" si="1"/>
        <v>43500</v>
      </c>
      <c r="K16" s="24">
        <f t="shared" si="2"/>
        <v>37316.689999999995</v>
      </c>
    </row>
    <row r="17" spans="2:11" x14ac:dyDescent="0.25">
      <c r="B17" s="31">
        <v>42403</v>
      </c>
      <c r="C17" s="25" t="s">
        <v>119</v>
      </c>
      <c r="D17" s="73"/>
      <c r="E17" s="23"/>
      <c r="F17" s="23"/>
      <c r="G17" s="23"/>
      <c r="H17" s="23">
        <v>350</v>
      </c>
      <c r="I17" s="27"/>
      <c r="J17" s="24">
        <f t="shared" si="1"/>
        <v>43500</v>
      </c>
      <c r="K17" s="24">
        <f t="shared" si="2"/>
        <v>36966.689999999995</v>
      </c>
    </row>
    <row r="18" spans="2:11" x14ac:dyDescent="0.25">
      <c r="B18" s="31">
        <v>42404</v>
      </c>
      <c r="C18" s="25" t="s">
        <v>120</v>
      </c>
      <c r="D18" s="73"/>
      <c r="E18" s="23"/>
      <c r="F18" s="23"/>
      <c r="G18" s="23"/>
      <c r="H18" s="23">
        <v>5000</v>
      </c>
      <c r="I18" s="27"/>
      <c r="J18" s="24">
        <f t="shared" si="1"/>
        <v>43500</v>
      </c>
      <c r="K18" s="24">
        <f t="shared" si="2"/>
        <v>31966.689999999995</v>
      </c>
    </row>
    <row r="19" spans="2:11" x14ac:dyDescent="0.25">
      <c r="B19" s="31">
        <v>42404</v>
      </c>
      <c r="C19" s="25" t="s">
        <v>121</v>
      </c>
      <c r="D19" s="73"/>
      <c r="E19" s="23"/>
      <c r="F19" s="23"/>
      <c r="G19" s="23"/>
      <c r="H19" s="23">
        <v>300</v>
      </c>
      <c r="I19" s="27"/>
      <c r="J19" s="24">
        <f t="shared" si="1"/>
        <v>43500</v>
      </c>
      <c r="K19" s="24">
        <f t="shared" si="2"/>
        <v>31666.689999999995</v>
      </c>
    </row>
    <row r="20" spans="2:11" x14ac:dyDescent="0.25">
      <c r="B20" s="31">
        <v>42404</v>
      </c>
      <c r="C20" s="25" t="s">
        <v>115</v>
      </c>
      <c r="D20" s="73"/>
      <c r="E20" s="23"/>
      <c r="F20" s="23"/>
      <c r="G20" s="23"/>
      <c r="H20" s="23">
        <v>48.5</v>
      </c>
      <c r="I20" s="27"/>
      <c r="J20" s="24">
        <f t="shared" si="1"/>
        <v>43500</v>
      </c>
      <c r="K20" s="24">
        <f t="shared" si="2"/>
        <v>31618.189999999995</v>
      </c>
    </row>
    <row r="21" spans="2:11" x14ac:dyDescent="0.25">
      <c r="B21" s="31">
        <v>42404</v>
      </c>
      <c r="C21" s="25" t="s">
        <v>122</v>
      </c>
      <c r="D21" s="73"/>
      <c r="E21" s="23"/>
      <c r="F21" s="23"/>
      <c r="G21" s="23"/>
      <c r="H21" s="23">
        <v>180</v>
      </c>
      <c r="I21" s="27"/>
      <c r="J21" s="24">
        <f t="shared" si="1"/>
        <v>43500</v>
      </c>
      <c r="K21" s="24">
        <f t="shared" si="2"/>
        <v>31438.189999999995</v>
      </c>
    </row>
    <row r="22" spans="2:11" x14ac:dyDescent="0.25">
      <c r="B22" s="31">
        <v>42404</v>
      </c>
      <c r="C22" s="25" t="s">
        <v>123</v>
      </c>
      <c r="D22" s="73"/>
      <c r="E22" s="23"/>
      <c r="F22" s="23"/>
      <c r="G22" s="23"/>
      <c r="H22" s="23">
        <v>35</v>
      </c>
      <c r="I22" s="27"/>
      <c r="J22" s="24">
        <f t="shared" si="1"/>
        <v>43500</v>
      </c>
      <c r="K22" s="24">
        <f t="shared" si="2"/>
        <v>31403.189999999995</v>
      </c>
    </row>
    <row r="23" spans="2:11" x14ac:dyDescent="0.25">
      <c r="B23" s="31">
        <v>42404</v>
      </c>
      <c r="C23" s="25" t="s">
        <v>124</v>
      </c>
      <c r="D23" s="73"/>
      <c r="E23" s="23"/>
      <c r="F23" s="23"/>
      <c r="G23" s="23"/>
      <c r="H23" s="23">
        <v>130</v>
      </c>
      <c r="I23" s="27"/>
      <c r="J23" s="24">
        <f t="shared" si="1"/>
        <v>43500</v>
      </c>
      <c r="K23" s="24">
        <f t="shared" si="2"/>
        <v>31273.189999999995</v>
      </c>
    </row>
    <row r="24" spans="2:11" x14ac:dyDescent="0.25">
      <c r="B24" s="31">
        <v>42404</v>
      </c>
      <c r="C24" s="25" t="s">
        <v>125</v>
      </c>
      <c r="D24" s="73"/>
      <c r="E24" s="23"/>
      <c r="F24" s="23"/>
      <c r="G24" s="23"/>
      <c r="H24" s="23">
        <v>88</v>
      </c>
      <c r="I24" s="27"/>
      <c r="J24" s="24">
        <f t="shared" si="1"/>
        <v>43500</v>
      </c>
      <c r="K24" s="24">
        <f t="shared" si="2"/>
        <v>31185.189999999995</v>
      </c>
    </row>
    <row r="25" spans="2:11" x14ac:dyDescent="0.25">
      <c r="B25" s="65">
        <v>42405</v>
      </c>
      <c r="C25" s="25" t="s">
        <v>13</v>
      </c>
      <c r="D25" s="73"/>
      <c r="E25" s="23"/>
      <c r="F25" s="23"/>
      <c r="G25" s="23"/>
      <c r="H25" s="23">
        <v>1000</v>
      </c>
      <c r="I25" s="27"/>
      <c r="J25" s="24">
        <f t="shared" si="1"/>
        <v>43500</v>
      </c>
      <c r="K25" s="24">
        <f t="shared" si="2"/>
        <v>30185.189999999995</v>
      </c>
    </row>
    <row r="26" spans="2:11" x14ac:dyDescent="0.25">
      <c r="B26" s="65">
        <v>42405</v>
      </c>
      <c r="C26" s="62" t="s">
        <v>70</v>
      </c>
      <c r="D26" s="73"/>
      <c r="E26" s="23"/>
      <c r="F26" s="23"/>
      <c r="G26" s="23"/>
      <c r="H26" s="23">
        <v>192</v>
      </c>
      <c r="I26" s="27"/>
      <c r="J26" s="24">
        <f t="shared" si="1"/>
        <v>43500</v>
      </c>
      <c r="K26" s="24">
        <f t="shared" si="2"/>
        <v>29993.189999999995</v>
      </c>
    </row>
    <row r="27" spans="2:11" x14ac:dyDescent="0.25">
      <c r="B27" s="65">
        <v>42405</v>
      </c>
      <c r="C27" s="62" t="s">
        <v>126</v>
      </c>
      <c r="D27" s="73"/>
      <c r="E27" s="23"/>
      <c r="F27" s="23"/>
      <c r="G27" s="23"/>
      <c r="H27" s="23">
        <v>520</v>
      </c>
      <c r="I27" s="27"/>
      <c r="J27" s="24">
        <f t="shared" si="1"/>
        <v>43500</v>
      </c>
      <c r="K27" s="24">
        <f t="shared" si="2"/>
        <v>29473.189999999995</v>
      </c>
    </row>
    <row r="28" spans="2:11" x14ac:dyDescent="0.25">
      <c r="B28" s="65">
        <v>42406</v>
      </c>
      <c r="C28" s="62" t="s">
        <v>161</v>
      </c>
      <c r="D28" s="73"/>
      <c r="E28" s="23"/>
      <c r="F28" s="23"/>
      <c r="G28" s="23"/>
      <c r="H28" s="23">
        <v>350</v>
      </c>
      <c r="I28" s="27"/>
      <c r="J28" s="24">
        <f t="shared" si="1"/>
        <v>43500</v>
      </c>
      <c r="K28" s="24">
        <f t="shared" si="2"/>
        <v>29123.189999999995</v>
      </c>
    </row>
    <row r="29" spans="2:11" x14ac:dyDescent="0.25">
      <c r="B29" s="65">
        <v>42407</v>
      </c>
      <c r="C29" s="62" t="s">
        <v>127</v>
      </c>
      <c r="D29" s="73"/>
      <c r="E29" s="23"/>
      <c r="F29" s="23"/>
      <c r="G29" s="23"/>
      <c r="H29" s="23">
        <v>120</v>
      </c>
      <c r="I29" s="27"/>
      <c r="J29" s="24">
        <f t="shared" si="1"/>
        <v>43500</v>
      </c>
      <c r="K29" s="24">
        <f t="shared" si="2"/>
        <v>29003.189999999995</v>
      </c>
    </row>
    <row r="30" spans="2:11" x14ac:dyDescent="0.25">
      <c r="B30" s="65">
        <v>42408</v>
      </c>
      <c r="C30" s="62" t="s">
        <v>128</v>
      </c>
      <c r="D30" s="73"/>
      <c r="E30" s="23"/>
      <c r="F30" s="23"/>
      <c r="G30" s="23"/>
      <c r="H30" s="23">
        <v>500</v>
      </c>
      <c r="I30" s="27"/>
      <c r="J30" s="24">
        <f t="shared" si="1"/>
        <v>43500</v>
      </c>
      <c r="K30" s="24">
        <f t="shared" si="2"/>
        <v>28503.189999999995</v>
      </c>
    </row>
    <row r="31" spans="2:11" x14ac:dyDescent="0.25">
      <c r="B31" s="65">
        <v>42408</v>
      </c>
      <c r="C31" s="62" t="s">
        <v>129</v>
      </c>
      <c r="D31" s="73"/>
      <c r="E31" s="23"/>
      <c r="F31" s="23"/>
      <c r="G31" s="23"/>
      <c r="H31" s="23">
        <v>1400</v>
      </c>
      <c r="I31" s="27"/>
      <c r="J31" s="24">
        <f t="shared" si="1"/>
        <v>43500</v>
      </c>
      <c r="K31" s="24">
        <f t="shared" si="2"/>
        <v>27103.189999999995</v>
      </c>
    </row>
    <row r="32" spans="2:11" x14ac:dyDescent="0.25">
      <c r="B32" s="65">
        <v>42408</v>
      </c>
      <c r="C32" s="63" t="s">
        <v>97</v>
      </c>
      <c r="D32" s="73"/>
      <c r="E32" s="23"/>
      <c r="F32" s="23"/>
      <c r="G32" s="23"/>
      <c r="H32" s="23">
        <v>110</v>
      </c>
      <c r="I32" s="27"/>
      <c r="J32" s="24">
        <f t="shared" si="1"/>
        <v>43500</v>
      </c>
      <c r="K32" s="24">
        <f t="shared" si="2"/>
        <v>26993.189999999995</v>
      </c>
    </row>
    <row r="33" spans="2:11" x14ac:dyDescent="0.25">
      <c r="B33" s="64">
        <v>42408</v>
      </c>
      <c r="C33" s="62" t="s">
        <v>130</v>
      </c>
      <c r="D33" s="73"/>
      <c r="E33" s="23"/>
      <c r="F33" s="23"/>
      <c r="G33" s="23"/>
      <c r="H33" s="23">
        <v>250</v>
      </c>
      <c r="I33" s="27"/>
      <c r="J33" s="24">
        <f t="shared" si="1"/>
        <v>43500</v>
      </c>
      <c r="K33" s="24">
        <f t="shared" si="2"/>
        <v>26743.189999999995</v>
      </c>
    </row>
    <row r="34" spans="2:11" x14ac:dyDescent="0.25">
      <c r="B34" s="66">
        <v>42409</v>
      </c>
      <c r="C34" s="62" t="s">
        <v>131</v>
      </c>
      <c r="D34" s="73"/>
      <c r="E34" s="23"/>
      <c r="F34" s="23"/>
      <c r="G34" s="23"/>
      <c r="H34" s="23">
        <v>320</v>
      </c>
      <c r="I34" s="27"/>
      <c r="J34" s="24">
        <f t="shared" si="1"/>
        <v>43500</v>
      </c>
      <c r="K34" s="24">
        <f t="shared" si="2"/>
        <v>26423.189999999995</v>
      </c>
    </row>
    <row r="35" spans="2:11" x14ac:dyDescent="0.25">
      <c r="B35" s="65">
        <v>42409</v>
      </c>
      <c r="C35" s="62" t="s">
        <v>132</v>
      </c>
      <c r="D35" s="73"/>
      <c r="E35" s="23"/>
      <c r="F35" s="23"/>
      <c r="G35" s="23"/>
      <c r="H35" s="23">
        <v>1760</v>
      </c>
      <c r="I35" s="27"/>
      <c r="J35" s="24">
        <f t="shared" si="1"/>
        <v>43500</v>
      </c>
      <c r="K35" s="24">
        <f t="shared" si="2"/>
        <v>24663.189999999995</v>
      </c>
    </row>
    <row r="36" spans="2:11" x14ac:dyDescent="0.25">
      <c r="B36" s="74">
        <v>42409</v>
      </c>
      <c r="C36" s="60" t="s">
        <v>133</v>
      </c>
      <c r="D36" s="73"/>
      <c r="E36" s="23"/>
      <c r="F36" s="23"/>
      <c r="G36" s="23"/>
      <c r="H36" s="23">
        <v>1224</v>
      </c>
      <c r="I36" s="27"/>
      <c r="J36" s="24">
        <f t="shared" si="1"/>
        <v>43500</v>
      </c>
      <c r="K36" s="24">
        <f t="shared" si="2"/>
        <v>23439.189999999995</v>
      </c>
    </row>
    <row r="37" spans="2:11" x14ac:dyDescent="0.25">
      <c r="B37" s="66">
        <v>42409</v>
      </c>
      <c r="C37" s="62" t="s">
        <v>134</v>
      </c>
      <c r="D37" s="73"/>
      <c r="E37" s="23"/>
      <c r="F37" s="23"/>
      <c r="G37" s="23"/>
      <c r="H37" s="23">
        <v>45</v>
      </c>
      <c r="I37" s="27"/>
      <c r="J37" s="24">
        <f t="shared" si="1"/>
        <v>43500</v>
      </c>
      <c r="K37" s="24">
        <f t="shared" si="2"/>
        <v>23394.189999999995</v>
      </c>
    </row>
    <row r="38" spans="2:11" x14ac:dyDescent="0.25">
      <c r="B38" s="65">
        <v>42409</v>
      </c>
      <c r="C38" s="62" t="s">
        <v>135</v>
      </c>
      <c r="D38" s="73"/>
      <c r="E38" s="23"/>
      <c r="F38" s="23"/>
      <c r="G38" s="23"/>
      <c r="H38" s="23">
        <v>100</v>
      </c>
      <c r="I38" s="27"/>
      <c r="J38" s="24">
        <f t="shared" si="1"/>
        <v>43500</v>
      </c>
      <c r="K38" s="24">
        <f t="shared" si="2"/>
        <v>23294.189999999995</v>
      </c>
    </row>
    <row r="39" spans="2:11" x14ac:dyDescent="0.25">
      <c r="B39" s="64">
        <v>42409</v>
      </c>
      <c r="C39" s="62" t="s">
        <v>136</v>
      </c>
      <c r="D39" s="73"/>
      <c r="E39" s="23"/>
      <c r="F39" s="23"/>
      <c r="G39" s="23"/>
      <c r="H39" s="23">
        <v>997</v>
      </c>
      <c r="I39" s="27"/>
      <c r="J39" s="24">
        <f t="shared" si="1"/>
        <v>43500</v>
      </c>
      <c r="K39" s="24">
        <f t="shared" si="2"/>
        <v>22297.189999999995</v>
      </c>
    </row>
    <row r="40" spans="2:11" x14ac:dyDescent="0.25">
      <c r="B40" s="66">
        <v>42409</v>
      </c>
      <c r="C40" s="62" t="s">
        <v>137</v>
      </c>
      <c r="D40" s="73"/>
      <c r="E40" s="23"/>
      <c r="F40" s="23"/>
      <c r="G40" s="23"/>
      <c r="H40" s="23">
        <v>1000</v>
      </c>
      <c r="I40" s="27"/>
      <c r="J40" s="24">
        <f t="shared" si="1"/>
        <v>43500</v>
      </c>
      <c r="K40" s="24">
        <f t="shared" si="2"/>
        <v>21297.189999999995</v>
      </c>
    </row>
    <row r="41" spans="2:11" x14ac:dyDescent="0.25">
      <c r="B41" s="65">
        <v>42409</v>
      </c>
      <c r="C41" s="62" t="s">
        <v>138</v>
      </c>
      <c r="D41" s="73"/>
      <c r="E41" s="23"/>
      <c r="F41" s="23"/>
      <c r="G41" s="23"/>
      <c r="H41" s="23">
        <v>225</v>
      </c>
      <c r="I41" s="27"/>
      <c r="J41" s="24">
        <f t="shared" si="1"/>
        <v>43500</v>
      </c>
      <c r="K41" s="24">
        <f t="shared" si="2"/>
        <v>21072.189999999995</v>
      </c>
    </row>
    <row r="42" spans="2:11" x14ac:dyDescent="0.25">
      <c r="B42" s="65">
        <v>42409</v>
      </c>
      <c r="C42" s="62" t="s">
        <v>139</v>
      </c>
      <c r="D42" s="73"/>
      <c r="E42" s="23"/>
      <c r="F42" s="23"/>
      <c r="G42" s="23"/>
      <c r="H42" s="23">
        <v>250</v>
      </c>
      <c r="I42" s="27"/>
      <c r="J42" s="24">
        <f t="shared" si="1"/>
        <v>43500</v>
      </c>
      <c r="K42" s="24">
        <f t="shared" si="2"/>
        <v>20822.189999999995</v>
      </c>
    </row>
    <row r="43" spans="2:11" x14ac:dyDescent="0.25">
      <c r="B43" s="65">
        <v>42409</v>
      </c>
      <c r="C43" s="62" t="s">
        <v>140</v>
      </c>
      <c r="D43" s="73"/>
      <c r="E43" s="23"/>
      <c r="F43" s="23"/>
      <c r="G43" s="23"/>
      <c r="H43" s="23">
        <v>263.2</v>
      </c>
      <c r="I43" s="27"/>
      <c r="J43" s="24">
        <f t="shared" si="1"/>
        <v>43500</v>
      </c>
      <c r="K43" s="24">
        <f t="shared" si="2"/>
        <v>20558.989999999994</v>
      </c>
    </row>
    <row r="44" spans="2:11" x14ac:dyDescent="0.25">
      <c r="B44" s="65">
        <v>42409</v>
      </c>
      <c r="C44" s="21" t="s">
        <v>160</v>
      </c>
      <c r="D44" s="73">
        <v>28300</v>
      </c>
      <c r="E44" s="23"/>
      <c r="F44" s="23"/>
      <c r="G44" s="23"/>
      <c r="H44" s="23"/>
      <c r="I44" s="27"/>
      <c r="J44" s="24">
        <f t="shared" si="1"/>
        <v>43500</v>
      </c>
      <c r="K44" s="24">
        <f t="shared" si="2"/>
        <v>48858.989999999991</v>
      </c>
    </row>
    <row r="45" spans="2:11" x14ac:dyDescent="0.25">
      <c r="B45" s="65">
        <v>42410</v>
      </c>
      <c r="C45" s="62" t="s">
        <v>141</v>
      </c>
      <c r="D45" s="73"/>
      <c r="E45" s="23"/>
      <c r="F45" s="23"/>
      <c r="G45" s="23"/>
      <c r="H45" s="23">
        <v>250</v>
      </c>
      <c r="I45" s="27"/>
      <c r="J45" s="24">
        <f t="shared" si="1"/>
        <v>43500</v>
      </c>
      <c r="K45" s="24">
        <f t="shared" si="2"/>
        <v>48608.989999999991</v>
      </c>
    </row>
    <row r="46" spans="2:11" x14ac:dyDescent="0.25">
      <c r="B46" s="67">
        <v>42410</v>
      </c>
      <c r="C46" s="62" t="s">
        <v>142</v>
      </c>
      <c r="D46" s="73"/>
      <c r="E46" s="73"/>
      <c r="F46" s="73"/>
      <c r="G46" s="73"/>
      <c r="H46" s="23">
        <v>5000</v>
      </c>
      <c r="I46" s="27"/>
      <c r="J46" s="24">
        <f t="shared" si="1"/>
        <v>43500</v>
      </c>
      <c r="K46" s="24">
        <f t="shared" si="2"/>
        <v>43608.989999999991</v>
      </c>
    </row>
    <row r="47" spans="2:11" x14ac:dyDescent="0.25">
      <c r="B47" s="64">
        <v>42410</v>
      </c>
      <c r="C47" s="62" t="s">
        <v>143</v>
      </c>
      <c r="D47" s="73"/>
      <c r="E47" s="73"/>
      <c r="F47" s="73"/>
      <c r="G47" s="28"/>
      <c r="H47" s="23">
        <v>1000</v>
      </c>
      <c r="I47" s="27"/>
      <c r="J47" s="24">
        <f t="shared" si="1"/>
        <v>43500</v>
      </c>
      <c r="K47" s="24">
        <f t="shared" si="2"/>
        <v>42608.989999999991</v>
      </c>
    </row>
    <row r="48" spans="2:11" x14ac:dyDescent="0.25">
      <c r="B48" s="66">
        <v>42410</v>
      </c>
      <c r="C48" s="62" t="s">
        <v>144</v>
      </c>
      <c r="D48" s="73"/>
      <c r="E48" s="73"/>
      <c r="F48" s="73"/>
      <c r="G48" s="73"/>
      <c r="H48" s="23">
        <v>300</v>
      </c>
      <c r="I48" s="27"/>
      <c r="J48" s="24">
        <f t="shared" si="1"/>
        <v>43500</v>
      </c>
      <c r="K48" s="24">
        <f t="shared" si="2"/>
        <v>42308.989999999991</v>
      </c>
    </row>
    <row r="49" spans="2:11" x14ac:dyDescent="0.25">
      <c r="B49" s="31">
        <v>42411</v>
      </c>
      <c r="C49" s="25" t="s">
        <v>1123</v>
      </c>
      <c r="D49" s="23"/>
      <c r="E49" s="23"/>
      <c r="F49" s="23"/>
      <c r="G49" s="23"/>
      <c r="H49" s="23"/>
      <c r="I49" s="27"/>
      <c r="J49" s="24">
        <f t="shared" si="1"/>
        <v>43500</v>
      </c>
      <c r="K49" s="24">
        <f t="shared" si="2"/>
        <v>42308.989999999991</v>
      </c>
    </row>
    <row r="50" spans="2:11" x14ac:dyDescent="0.25">
      <c r="B50" s="31">
        <v>42411</v>
      </c>
      <c r="C50" s="25" t="s">
        <v>1127</v>
      </c>
      <c r="D50" s="23"/>
      <c r="E50" s="23">
        <v>12760</v>
      </c>
      <c r="F50" s="23"/>
      <c r="G50" s="23"/>
      <c r="H50" s="23"/>
      <c r="I50" s="27"/>
      <c r="J50" s="24">
        <f t="shared" si="1"/>
        <v>56260</v>
      </c>
      <c r="K50" s="24">
        <f t="shared" si="2"/>
        <v>42308.989999999991</v>
      </c>
    </row>
    <row r="51" spans="2:11" ht="15.75" thickBot="1" x14ac:dyDescent="0.3">
      <c r="B51" s="65">
        <v>42411</v>
      </c>
      <c r="C51" s="63" t="s">
        <v>145</v>
      </c>
      <c r="D51" s="23"/>
      <c r="E51" s="23"/>
      <c r="F51" s="23"/>
      <c r="G51" s="23"/>
      <c r="H51" s="92">
        <v>35.9</v>
      </c>
      <c r="I51" s="27"/>
      <c r="J51" s="24">
        <f t="shared" ref="J51" si="3">+J50+E51-G51</f>
        <v>56260</v>
      </c>
      <c r="K51" s="24">
        <f t="shared" ref="K51" si="4">+K50+D51-H51</f>
        <v>42273.089999999989</v>
      </c>
    </row>
    <row r="52" spans="2:11" ht="15.75" thickBot="1" x14ac:dyDescent="0.3">
      <c r="B52" s="13"/>
      <c r="C52" s="16" t="s">
        <v>0</v>
      </c>
      <c r="D52" s="105">
        <f>SUM(D4:D51)</f>
        <v>28300</v>
      </c>
      <c r="E52" s="103">
        <f>SUM(E4:E51)</f>
        <v>12760</v>
      </c>
      <c r="F52" s="114">
        <f>SUM(D52:E52)</f>
        <v>41060</v>
      </c>
      <c r="G52" s="126">
        <f>SUM(G4:G51)</f>
        <v>0</v>
      </c>
      <c r="H52" s="105">
        <f>SUM(H4:H51)</f>
        <v>27065.9</v>
      </c>
      <c r="I52" s="114">
        <f>SUM(G52:H52)</f>
        <v>27065.9</v>
      </c>
      <c r="J52" s="33"/>
      <c r="K52" s="33"/>
    </row>
    <row r="53" spans="2:11" x14ac:dyDescent="0.25">
      <c r="B53" s="148"/>
      <c r="C53" s="149"/>
      <c r="D53" s="9"/>
      <c r="E53" s="9"/>
      <c r="F53" s="9"/>
      <c r="G53" s="9"/>
      <c r="H53" s="150"/>
      <c r="I53" s="9"/>
      <c r="J53" s="51"/>
      <c r="K53" s="51"/>
    </row>
    <row r="54" spans="2:11" x14ac:dyDescent="0.25">
      <c r="B54" s="148"/>
      <c r="C54" s="149"/>
      <c r="D54" s="9"/>
      <c r="E54" s="9"/>
      <c r="F54" s="9"/>
      <c r="G54" s="9"/>
      <c r="H54" s="150"/>
      <c r="I54" s="9"/>
      <c r="J54" s="51"/>
      <c r="K54" s="51"/>
    </row>
    <row r="55" spans="2:11" ht="15.75" thickBot="1" x14ac:dyDescent="0.3">
      <c r="B55" s="148"/>
      <c r="C55" s="149"/>
      <c r="D55" s="9"/>
      <c r="E55" s="9"/>
      <c r="F55" s="9"/>
      <c r="G55" s="9"/>
      <c r="H55" s="150"/>
      <c r="I55" s="9"/>
      <c r="J55" s="51"/>
      <c r="K55" s="51"/>
    </row>
    <row r="56" spans="2:11" x14ac:dyDescent="0.25">
      <c r="B56" s="111" t="s">
        <v>1</v>
      </c>
      <c r="C56" s="111" t="s">
        <v>2</v>
      </c>
      <c r="D56" s="111" t="s">
        <v>3</v>
      </c>
      <c r="E56" s="111" t="s">
        <v>3</v>
      </c>
      <c r="F56" s="111" t="s">
        <v>323</v>
      </c>
      <c r="G56" s="111" t="s">
        <v>324</v>
      </c>
      <c r="H56" s="81" t="s">
        <v>324</v>
      </c>
      <c r="I56" s="81" t="s">
        <v>323</v>
      </c>
      <c r="J56" s="111" t="s">
        <v>174</v>
      </c>
      <c r="K56" s="81" t="s">
        <v>173</v>
      </c>
    </row>
    <row r="57" spans="2:11" ht="15.75" thickBot="1" x14ac:dyDescent="0.3">
      <c r="B57" s="112"/>
      <c r="C57" s="112"/>
      <c r="D57" s="112" t="s">
        <v>6</v>
      </c>
      <c r="E57" s="112" t="s">
        <v>325</v>
      </c>
      <c r="F57" s="112" t="s">
        <v>3</v>
      </c>
      <c r="G57" s="112" t="s">
        <v>325</v>
      </c>
      <c r="H57" s="113" t="s">
        <v>6</v>
      </c>
      <c r="I57" s="113" t="s">
        <v>5</v>
      </c>
      <c r="J57" s="112"/>
      <c r="K57" s="113"/>
    </row>
    <row r="58" spans="2:11" ht="15.75" thickBot="1" x14ac:dyDescent="0.3">
      <c r="B58" s="13"/>
      <c r="C58" s="16"/>
      <c r="D58" s="105">
        <v>28300</v>
      </c>
      <c r="E58" s="103">
        <v>12760</v>
      </c>
      <c r="F58" s="114">
        <f>SUM(D58:E58)</f>
        <v>41060</v>
      </c>
      <c r="G58" s="126">
        <v>0</v>
      </c>
      <c r="H58" s="105">
        <v>27065.9</v>
      </c>
      <c r="I58" s="114">
        <f>SUM(G58:H58)</f>
        <v>27065.9</v>
      </c>
      <c r="J58" s="33">
        <v>56260</v>
      </c>
      <c r="K58" s="24">
        <v>42273.09</v>
      </c>
    </row>
    <row r="59" spans="2:11" x14ac:dyDescent="0.25">
      <c r="B59" s="65">
        <v>42411</v>
      </c>
      <c r="C59" s="62" t="s">
        <v>146</v>
      </c>
      <c r="D59" s="23"/>
      <c r="E59" s="23"/>
      <c r="F59" s="23"/>
      <c r="G59" s="23"/>
      <c r="H59" s="23">
        <v>61.5</v>
      </c>
      <c r="I59" s="27"/>
      <c r="J59" s="24">
        <f>+J58+E59-G59</f>
        <v>56260</v>
      </c>
      <c r="K59" s="24">
        <f t="shared" ref="K59" si="5">+K58+D59-H59</f>
        <v>42211.59</v>
      </c>
    </row>
    <row r="60" spans="2:11" x14ac:dyDescent="0.25">
      <c r="B60" s="65">
        <v>42411</v>
      </c>
      <c r="C60" s="62" t="s">
        <v>13</v>
      </c>
      <c r="D60" s="23"/>
      <c r="E60" s="23"/>
      <c r="F60" s="23"/>
      <c r="G60" s="23"/>
      <c r="H60" s="23">
        <v>1000</v>
      </c>
      <c r="I60" s="27"/>
      <c r="J60" s="24">
        <f t="shared" ref="J60:J109" si="6">+J59+E60-G60</f>
        <v>56260</v>
      </c>
      <c r="K60" s="24">
        <f t="shared" ref="K60:K109" si="7">+K59+D60-H60</f>
        <v>41211.589999999997</v>
      </c>
    </row>
    <row r="61" spans="2:11" x14ac:dyDescent="0.25">
      <c r="B61" s="65">
        <v>42411</v>
      </c>
      <c r="C61" s="62" t="s">
        <v>147</v>
      </c>
      <c r="D61" s="23"/>
      <c r="E61" s="23"/>
      <c r="F61" s="23"/>
      <c r="G61" s="23"/>
      <c r="H61" s="23">
        <v>2000</v>
      </c>
      <c r="I61" s="27"/>
      <c r="J61" s="24">
        <f t="shared" si="6"/>
        <v>56260</v>
      </c>
      <c r="K61" s="24">
        <f t="shared" si="7"/>
        <v>39211.589999999997</v>
      </c>
    </row>
    <row r="62" spans="2:11" x14ac:dyDescent="0.25">
      <c r="B62" s="65">
        <v>42411</v>
      </c>
      <c r="C62" s="63" t="s">
        <v>148</v>
      </c>
      <c r="D62" s="23"/>
      <c r="E62" s="23"/>
      <c r="F62" s="23"/>
      <c r="G62" s="23"/>
      <c r="H62" s="23">
        <v>751.4</v>
      </c>
      <c r="I62" s="27"/>
      <c r="J62" s="24">
        <f t="shared" si="6"/>
        <v>56260</v>
      </c>
      <c r="K62" s="24">
        <f t="shared" si="7"/>
        <v>38460.189999999995</v>
      </c>
    </row>
    <row r="63" spans="2:11" x14ac:dyDescent="0.25">
      <c r="B63" s="65">
        <v>42412</v>
      </c>
      <c r="C63" s="63" t="s">
        <v>149</v>
      </c>
      <c r="D63" s="23"/>
      <c r="E63" s="23"/>
      <c r="F63" s="23"/>
      <c r="G63" s="23"/>
      <c r="H63" s="23">
        <v>270.3</v>
      </c>
      <c r="I63" s="27"/>
      <c r="J63" s="24">
        <f>+J62+E63-G63</f>
        <v>56260</v>
      </c>
      <c r="K63" s="24">
        <f>+K62+D63-H63</f>
        <v>38189.889999999992</v>
      </c>
    </row>
    <row r="64" spans="2:11" x14ac:dyDescent="0.25">
      <c r="B64" s="65">
        <v>42412</v>
      </c>
      <c r="C64" s="63" t="s">
        <v>150</v>
      </c>
      <c r="D64" s="23"/>
      <c r="E64" s="23"/>
      <c r="F64" s="23"/>
      <c r="G64" s="23"/>
      <c r="H64" s="23">
        <v>55</v>
      </c>
      <c r="I64" s="27"/>
      <c r="J64" s="24">
        <f t="shared" si="6"/>
        <v>56260</v>
      </c>
      <c r="K64" s="24">
        <f t="shared" si="7"/>
        <v>38134.889999999992</v>
      </c>
    </row>
    <row r="65" spans="2:11" x14ac:dyDescent="0.25">
      <c r="B65" s="65">
        <v>42412</v>
      </c>
      <c r="C65" s="63" t="s">
        <v>151</v>
      </c>
      <c r="D65" s="23"/>
      <c r="E65" s="23"/>
      <c r="F65" s="23"/>
      <c r="G65" s="23"/>
      <c r="H65" s="23">
        <v>250</v>
      </c>
      <c r="I65" s="27"/>
      <c r="J65" s="24">
        <f t="shared" si="6"/>
        <v>56260</v>
      </c>
      <c r="K65" s="24">
        <f t="shared" si="7"/>
        <v>37884.889999999992</v>
      </c>
    </row>
    <row r="66" spans="2:11" x14ac:dyDescent="0.25">
      <c r="B66" s="65">
        <v>42412</v>
      </c>
      <c r="C66" s="63" t="s">
        <v>152</v>
      </c>
      <c r="D66" s="23"/>
      <c r="E66" s="23"/>
      <c r="F66" s="23"/>
      <c r="G66" s="23"/>
      <c r="H66" s="23">
        <v>2000</v>
      </c>
      <c r="I66" s="27"/>
      <c r="J66" s="24">
        <f t="shared" si="6"/>
        <v>56260</v>
      </c>
      <c r="K66" s="24">
        <f t="shared" si="7"/>
        <v>35884.889999999992</v>
      </c>
    </row>
    <row r="67" spans="2:11" x14ac:dyDescent="0.25">
      <c r="B67" s="65">
        <v>42412</v>
      </c>
      <c r="C67" s="63" t="s">
        <v>153</v>
      </c>
      <c r="D67" s="23"/>
      <c r="E67" s="23"/>
      <c r="F67" s="23"/>
      <c r="G67" s="23"/>
      <c r="H67" s="23">
        <v>350</v>
      </c>
      <c r="I67" s="27"/>
      <c r="J67" s="24">
        <f t="shared" si="6"/>
        <v>56260</v>
      </c>
      <c r="K67" s="24">
        <f t="shared" si="7"/>
        <v>35534.889999999992</v>
      </c>
    </row>
    <row r="68" spans="2:11" x14ac:dyDescent="0.25">
      <c r="B68" s="65">
        <v>42414</v>
      </c>
      <c r="C68" s="62" t="s">
        <v>154</v>
      </c>
      <c r="D68" s="23"/>
      <c r="E68" s="23"/>
      <c r="F68" s="23"/>
      <c r="G68" s="23"/>
      <c r="H68" s="23">
        <v>100</v>
      </c>
      <c r="I68" s="27"/>
      <c r="J68" s="24">
        <f t="shared" si="6"/>
        <v>56260</v>
      </c>
      <c r="K68" s="24">
        <f t="shared" si="7"/>
        <v>35434.889999999992</v>
      </c>
    </row>
    <row r="69" spans="2:11" x14ac:dyDescent="0.25">
      <c r="B69" s="65">
        <v>42414</v>
      </c>
      <c r="C69" s="63" t="s">
        <v>146</v>
      </c>
      <c r="D69" s="23"/>
      <c r="E69" s="23"/>
      <c r="F69" s="23"/>
      <c r="G69" s="23"/>
      <c r="H69" s="23">
        <v>90</v>
      </c>
      <c r="I69" s="27"/>
      <c r="J69" s="24">
        <f t="shared" si="6"/>
        <v>56260</v>
      </c>
      <c r="K69" s="24">
        <f t="shared" si="7"/>
        <v>35344.889999999992</v>
      </c>
    </row>
    <row r="70" spans="2:11" x14ac:dyDescent="0.25">
      <c r="B70" s="64">
        <v>42414</v>
      </c>
      <c r="C70" s="63" t="s">
        <v>155</v>
      </c>
      <c r="D70" s="23"/>
      <c r="E70" s="23"/>
      <c r="F70" s="23"/>
      <c r="G70" s="23"/>
      <c r="H70" s="23">
        <v>202.52</v>
      </c>
      <c r="I70" s="27"/>
      <c r="J70" s="24">
        <f t="shared" si="6"/>
        <v>56260</v>
      </c>
      <c r="K70" s="24">
        <f t="shared" si="7"/>
        <v>35142.369999999995</v>
      </c>
    </row>
    <row r="71" spans="2:11" x14ac:dyDescent="0.25">
      <c r="B71" s="31">
        <v>42415</v>
      </c>
      <c r="C71" s="60" t="s">
        <v>1125</v>
      </c>
      <c r="D71" s="23"/>
      <c r="E71" s="23">
        <v>4400</v>
      </c>
      <c r="F71" s="23"/>
      <c r="G71" s="23"/>
      <c r="H71" s="23"/>
      <c r="I71" s="27"/>
      <c r="J71" s="24">
        <f t="shared" si="6"/>
        <v>60660</v>
      </c>
      <c r="K71" s="24">
        <f t="shared" si="7"/>
        <v>35142.369999999995</v>
      </c>
    </row>
    <row r="72" spans="2:11" x14ac:dyDescent="0.25">
      <c r="B72" s="31">
        <v>42415</v>
      </c>
      <c r="C72" s="21" t="s">
        <v>1126</v>
      </c>
      <c r="D72" s="23"/>
      <c r="E72" s="23">
        <v>400.29</v>
      </c>
      <c r="F72" s="23"/>
      <c r="G72" s="23"/>
      <c r="H72" s="23"/>
      <c r="I72" s="27"/>
      <c r="J72" s="24">
        <f t="shared" si="6"/>
        <v>61060.29</v>
      </c>
      <c r="K72" s="24">
        <f t="shared" si="7"/>
        <v>35142.369999999995</v>
      </c>
    </row>
    <row r="73" spans="2:11" x14ac:dyDescent="0.25">
      <c r="B73" s="66">
        <v>42415</v>
      </c>
      <c r="C73" s="63" t="s">
        <v>156</v>
      </c>
      <c r="D73" s="73"/>
      <c r="E73" s="23"/>
      <c r="F73" s="23"/>
      <c r="G73" s="23"/>
      <c r="H73" s="23">
        <v>450</v>
      </c>
      <c r="I73" s="27"/>
      <c r="J73" s="24">
        <f t="shared" si="6"/>
        <v>61060.29</v>
      </c>
      <c r="K73" s="24">
        <f t="shared" si="7"/>
        <v>34692.369999999995</v>
      </c>
    </row>
    <row r="74" spans="2:11" x14ac:dyDescent="0.25">
      <c r="B74" s="67">
        <v>42415</v>
      </c>
      <c r="C74" s="63" t="s">
        <v>70</v>
      </c>
      <c r="D74" s="73"/>
      <c r="E74" s="23"/>
      <c r="F74" s="23"/>
      <c r="G74" s="23"/>
      <c r="H74" s="23">
        <v>190</v>
      </c>
      <c r="I74" s="27"/>
      <c r="J74" s="24">
        <f t="shared" si="6"/>
        <v>61060.29</v>
      </c>
      <c r="K74" s="24">
        <f t="shared" si="7"/>
        <v>34502.369999999995</v>
      </c>
    </row>
    <row r="75" spans="2:11" x14ac:dyDescent="0.25">
      <c r="B75" s="67">
        <v>42415</v>
      </c>
      <c r="C75" s="63" t="s">
        <v>162</v>
      </c>
      <c r="D75" s="73"/>
      <c r="E75" s="23"/>
      <c r="F75" s="23"/>
      <c r="G75" s="23"/>
      <c r="H75" s="23">
        <v>385</v>
      </c>
      <c r="I75" s="27"/>
      <c r="J75" s="24">
        <f t="shared" si="6"/>
        <v>61060.29</v>
      </c>
      <c r="K75" s="24">
        <f t="shared" si="7"/>
        <v>34117.369999999995</v>
      </c>
    </row>
    <row r="76" spans="2:11" x14ac:dyDescent="0.25">
      <c r="B76" s="67">
        <v>42415</v>
      </c>
      <c r="C76" s="63" t="s">
        <v>146</v>
      </c>
      <c r="D76" s="73"/>
      <c r="E76" s="23"/>
      <c r="F76" s="23"/>
      <c r="G76" s="23"/>
      <c r="H76" s="23">
        <v>30.5</v>
      </c>
      <c r="I76" s="27"/>
      <c r="J76" s="24">
        <f t="shared" si="6"/>
        <v>61060.29</v>
      </c>
      <c r="K76" s="24">
        <f t="shared" si="7"/>
        <v>34086.869999999995</v>
      </c>
    </row>
    <row r="77" spans="2:11" x14ac:dyDescent="0.25">
      <c r="B77" s="67">
        <v>42415</v>
      </c>
      <c r="C77" s="63" t="s">
        <v>163</v>
      </c>
      <c r="D77" s="73"/>
      <c r="E77" s="23"/>
      <c r="F77" s="23"/>
      <c r="G77" s="23"/>
      <c r="H77" s="23">
        <v>350</v>
      </c>
      <c r="I77" s="27"/>
      <c r="J77" s="24">
        <f t="shared" si="6"/>
        <v>61060.29</v>
      </c>
      <c r="K77" s="24">
        <f t="shared" si="7"/>
        <v>33736.869999999995</v>
      </c>
    </row>
    <row r="78" spans="2:11" x14ac:dyDescent="0.25">
      <c r="B78" s="75">
        <v>42415</v>
      </c>
      <c r="C78" s="25" t="s">
        <v>158</v>
      </c>
      <c r="D78" s="73"/>
      <c r="E78" s="23"/>
      <c r="F78" s="23"/>
      <c r="G78" s="23"/>
      <c r="H78" s="23">
        <v>2700</v>
      </c>
      <c r="I78" s="27"/>
      <c r="J78" s="24">
        <f t="shared" si="6"/>
        <v>61060.29</v>
      </c>
      <c r="K78" s="24">
        <f t="shared" si="7"/>
        <v>31036.869999999995</v>
      </c>
    </row>
    <row r="79" spans="2:11" x14ac:dyDescent="0.25">
      <c r="B79" s="75">
        <v>42415</v>
      </c>
      <c r="C79" s="25" t="s">
        <v>157</v>
      </c>
      <c r="D79" s="73"/>
      <c r="E79" s="23"/>
      <c r="F79" s="23"/>
      <c r="G79" s="23"/>
      <c r="H79" s="23">
        <v>29000</v>
      </c>
      <c r="I79" s="27"/>
      <c r="J79" s="24">
        <f t="shared" si="6"/>
        <v>61060.29</v>
      </c>
      <c r="K79" s="24">
        <f t="shared" si="7"/>
        <v>2036.8699999999953</v>
      </c>
    </row>
    <row r="80" spans="2:11" x14ac:dyDescent="0.25">
      <c r="B80" s="75">
        <v>42415</v>
      </c>
      <c r="C80" s="25" t="s">
        <v>159</v>
      </c>
      <c r="D80" s="73"/>
      <c r="E80" s="23"/>
      <c r="F80" s="23"/>
      <c r="G80" s="23"/>
      <c r="H80" s="23">
        <v>4000</v>
      </c>
      <c r="I80" s="27"/>
      <c r="J80" s="24">
        <f t="shared" si="6"/>
        <v>61060.29</v>
      </c>
      <c r="K80" s="24">
        <f t="shared" si="7"/>
        <v>-1963.1300000000047</v>
      </c>
    </row>
    <row r="81" spans="2:11" x14ac:dyDescent="0.25">
      <c r="B81" s="76">
        <v>42415</v>
      </c>
      <c r="C81" s="21" t="s">
        <v>164</v>
      </c>
      <c r="D81" s="147">
        <v>21560</v>
      </c>
      <c r="E81" s="23"/>
      <c r="F81" s="23"/>
      <c r="G81" s="23"/>
      <c r="H81" s="23"/>
      <c r="I81" s="27"/>
      <c r="J81" s="24">
        <f t="shared" si="6"/>
        <v>61060.29</v>
      </c>
      <c r="K81" s="24">
        <f t="shared" si="7"/>
        <v>19596.869999999995</v>
      </c>
    </row>
    <row r="82" spans="2:11" x14ac:dyDescent="0.25">
      <c r="B82" s="76">
        <v>42416</v>
      </c>
      <c r="C82" s="25" t="s">
        <v>165</v>
      </c>
      <c r="D82" s="73"/>
      <c r="E82" s="23"/>
      <c r="F82" s="23"/>
      <c r="G82" s="23"/>
      <c r="H82" s="23">
        <v>550</v>
      </c>
      <c r="I82" s="27"/>
      <c r="J82" s="24">
        <f t="shared" si="6"/>
        <v>61060.29</v>
      </c>
      <c r="K82" s="24">
        <f t="shared" si="7"/>
        <v>19046.869999999995</v>
      </c>
    </row>
    <row r="83" spans="2:11" x14ac:dyDescent="0.25">
      <c r="B83" s="76">
        <v>42416</v>
      </c>
      <c r="C83" s="25" t="s">
        <v>166</v>
      </c>
      <c r="D83" s="73"/>
      <c r="E83" s="23"/>
      <c r="F83" s="23"/>
      <c r="G83" s="23"/>
      <c r="H83" s="23">
        <v>400</v>
      </c>
      <c r="I83" s="27"/>
      <c r="J83" s="24">
        <f t="shared" si="6"/>
        <v>61060.29</v>
      </c>
      <c r="K83" s="24">
        <f t="shared" si="7"/>
        <v>18646.869999999995</v>
      </c>
    </row>
    <row r="84" spans="2:11" x14ac:dyDescent="0.25">
      <c r="B84" s="76">
        <v>42416</v>
      </c>
      <c r="C84" s="25" t="s">
        <v>167</v>
      </c>
      <c r="D84" s="73"/>
      <c r="E84" s="23"/>
      <c r="F84" s="23"/>
      <c r="G84" s="23"/>
      <c r="H84" s="23">
        <v>250</v>
      </c>
      <c r="I84" s="27"/>
      <c r="J84" s="24">
        <f t="shared" si="6"/>
        <v>61060.29</v>
      </c>
      <c r="K84" s="24">
        <f t="shared" si="7"/>
        <v>18396.869999999995</v>
      </c>
    </row>
    <row r="85" spans="2:11" x14ac:dyDescent="0.25">
      <c r="B85" s="76">
        <v>42416</v>
      </c>
      <c r="C85" s="25" t="s">
        <v>168</v>
      </c>
      <c r="D85" s="73"/>
      <c r="E85" s="23"/>
      <c r="F85" s="23"/>
      <c r="G85" s="23"/>
      <c r="H85" s="23">
        <v>400</v>
      </c>
      <c r="I85" s="27"/>
      <c r="J85" s="24">
        <f t="shared" si="6"/>
        <v>61060.29</v>
      </c>
      <c r="K85" s="24">
        <f t="shared" si="7"/>
        <v>17996.869999999995</v>
      </c>
    </row>
    <row r="86" spans="2:11" x14ac:dyDescent="0.25">
      <c r="B86" s="76">
        <v>42417</v>
      </c>
      <c r="C86" s="25" t="s">
        <v>169</v>
      </c>
      <c r="D86" s="73"/>
      <c r="E86" s="73"/>
      <c r="F86" s="73"/>
      <c r="G86" s="28"/>
      <c r="H86" s="23">
        <v>500</v>
      </c>
      <c r="I86" s="27"/>
      <c r="J86" s="24">
        <f t="shared" si="6"/>
        <v>61060.29</v>
      </c>
      <c r="K86" s="24">
        <f t="shared" si="7"/>
        <v>17496.869999999995</v>
      </c>
    </row>
    <row r="87" spans="2:11" x14ac:dyDescent="0.25">
      <c r="B87" s="76">
        <v>42417</v>
      </c>
      <c r="C87" s="25" t="s">
        <v>169</v>
      </c>
      <c r="D87" s="73"/>
      <c r="E87" s="73"/>
      <c r="F87" s="73"/>
      <c r="G87" s="28"/>
      <c r="H87" s="23">
        <v>500</v>
      </c>
      <c r="I87" s="27"/>
      <c r="J87" s="24">
        <f t="shared" si="6"/>
        <v>61060.29</v>
      </c>
      <c r="K87" s="24">
        <f t="shared" si="7"/>
        <v>16996.869999999995</v>
      </c>
    </row>
    <row r="88" spans="2:11" x14ac:dyDescent="0.25">
      <c r="B88" s="76">
        <v>42417</v>
      </c>
      <c r="C88" s="25" t="s">
        <v>145</v>
      </c>
      <c r="D88" s="73"/>
      <c r="E88" s="73"/>
      <c r="F88" s="73"/>
      <c r="G88" s="28"/>
      <c r="H88" s="23">
        <v>312.8</v>
      </c>
      <c r="I88" s="27"/>
      <c r="J88" s="24">
        <f t="shared" si="6"/>
        <v>61060.29</v>
      </c>
      <c r="K88" s="24">
        <f t="shared" si="7"/>
        <v>16684.069999999996</v>
      </c>
    </row>
    <row r="89" spans="2:11" x14ac:dyDescent="0.25">
      <c r="B89" s="76">
        <v>42417</v>
      </c>
      <c r="C89" s="25" t="s">
        <v>145</v>
      </c>
      <c r="D89" s="73"/>
      <c r="E89" s="73"/>
      <c r="F89" s="73"/>
      <c r="G89" s="28"/>
      <c r="H89" s="23">
        <v>895.8</v>
      </c>
      <c r="I89" s="27"/>
      <c r="J89" s="24">
        <f t="shared" si="6"/>
        <v>61060.29</v>
      </c>
      <c r="K89" s="24">
        <f t="shared" si="7"/>
        <v>15788.269999999997</v>
      </c>
    </row>
    <row r="90" spans="2:11" x14ac:dyDescent="0.25">
      <c r="B90" s="76">
        <v>42418</v>
      </c>
      <c r="C90" s="25" t="s">
        <v>170</v>
      </c>
      <c r="D90" s="73"/>
      <c r="E90" s="73"/>
      <c r="F90" s="73"/>
      <c r="G90" s="73"/>
      <c r="H90" s="23">
        <v>273</v>
      </c>
      <c r="I90" s="27"/>
      <c r="J90" s="24">
        <f t="shared" si="6"/>
        <v>61060.29</v>
      </c>
      <c r="K90" s="24">
        <f t="shared" si="7"/>
        <v>15515.269999999997</v>
      </c>
    </row>
    <row r="91" spans="2:11" x14ac:dyDescent="0.25">
      <c r="B91" s="76">
        <v>42418</v>
      </c>
      <c r="C91" s="25" t="s">
        <v>171</v>
      </c>
      <c r="D91" s="73"/>
      <c r="E91" s="73"/>
      <c r="F91" s="73"/>
      <c r="G91" s="73"/>
      <c r="H91" s="23">
        <v>40</v>
      </c>
      <c r="I91" s="27"/>
      <c r="J91" s="24">
        <f t="shared" si="6"/>
        <v>61060.29</v>
      </c>
      <c r="K91" s="24">
        <f t="shared" si="7"/>
        <v>15475.269999999997</v>
      </c>
    </row>
    <row r="92" spans="2:11" x14ac:dyDescent="0.25">
      <c r="B92" s="76">
        <v>42418</v>
      </c>
      <c r="C92" s="25" t="s">
        <v>172</v>
      </c>
      <c r="D92" s="73"/>
      <c r="E92" s="23"/>
      <c r="F92" s="23"/>
      <c r="G92" s="23"/>
      <c r="H92" s="23">
        <v>300</v>
      </c>
      <c r="I92" s="27"/>
      <c r="J92" s="24">
        <f t="shared" si="6"/>
        <v>61060.29</v>
      </c>
      <c r="K92" s="24">
        <f t="shared" si="7"/>
        <v>15175.269999999997</v>
      </c>
    </row>
    <row r="93" spans="2:11" x14ac:dyDescent="0.25">
      <c r="B93" s="76">
        <v>42418</v>
      </c>
      <c r="C93" s="25" t="s">
        <v>154</v>
      </c>
      <c r="D93" s="73"/>
      <c r="E93" s="23"/>
      <c r="F93" s="23"/>
      <c r="G93" s="23"/>
      <c r="H93" s="23">
        <v>150</v>
      </c>
      <c r="I93" s="27"/>
      <c r="J93" s="24">
        <f t="shared" si="6"/>
        <v>61060.29</v>
      </c>
      <c r="K93" s="24">
        <f t="shared" si="7"/>
        <v>15025.269999999997</v>
      </c>
    </row>
    <row r="94" spans="2:11" x14ac:dyDescent="0.25">
      <c r="B94" s="76">
        <v>42419</v>
      </c>
      <c r="C94" s="25" t="s">
        <v>188</v>
      </c>
      <c r="D94" s="73"/>
      <c r="E94" s="23"/>
      <c r="F94" s="23"/>
      <c r="G94" s="23"/>
      <c r="H94" s="23">
        <v>100</v>
      </c>
      <c r="I94" s="27"/>
      <c r="J94" s="24">
        <f t="shared" si="6"/>
        <v>61060.29</v>
      </c>
      <c r="K94" s="24">
        <f t="shared" si="7"/>
        <v>14925.269999999997</v>
      </c>
    </row>
    <row r="95" spans="2:11" x14ac:dyDescent="0.25">
      <c r="B95" s="76">
        <v>42419</v>
      </c>
      <c r="C95" s="25" t="s">
        <v>189</v>
      </c>
      <c r="D95" s="73"/>
      <c r="E95" s="23"/>
      <c r="F95" s="23"/>
      <c r="G95" s="23"/>
      <c r="H95" s="23">
        <v>350</v>
      </c>
      <c r="I95" s="27"/>
      <c r="J95" s="24">
        <f t="shared" si="6"/>
        <v>61060.29</v>
      </c>
      <c r="K95" s="24">
        <f t="shared" si="7"/>
        <v>14575.269999999997</v>
      </c>
    </row>
    <row r="96" spans="2:11" x14ac:dyDescent="0.25">
      <c r="B96" s="76">
        <v>42419</v>
      </c>
      <c r="C96" s="25" t="s">
        <v>190</v>
      </c>
      <c r="D96" s="73"/>
      <c r="E96" s="23"/>
      <c r="F96" s="23"/>
      <c r="G96" s="23"/>
      <c r="H96" s="23">
        <v>350</v>
      </c>
      <c r="I96" s="27"/>
      <c r="J96" s="24">
        <f t="shared" si="6"/>
        <v>61060.29</v>
      </c>
      <c r="K96" s="24">
        <f t="shared" si="7"/>
        <v>14225.269999999997</v>
      </c>
    </row>
    <row r="97" spans="2:12" x14ac:dyDescent="0.25">
      <c r="B97" s="76">
        <v>42419</v>
      </c>
      <c r="C97" s="25" t="s">
        <v>191</v>
      </c>
      <c r="D97" s="73"/>
      <c r="E97" s="23"/>
      <c r="F97" s="23"/>
      <c r="G97" s="23"/>
      <c r="H97" s="23">
        <v>1500</v>
      </c>
      <c r="I97" s="27"/>
      <c r="J97" s="24">
        <f t="shared" si="6"/>
        <v>61060.29</v>
      </c>
      <c r="K97" s="24">
        <f t="shared" si="7"/>
        <v>12725.269999999997</v>
      </c>
    </row>
    <row r="98" spans="2:12" x14ac:dyDescent="0.25">
      <c r="B98" s="76">
        <v>42419</v>
      </c>
      <c r="C98" s="25" t="s">
        <v>97</v>
      </c>
      <c r="D98" s="73"/>
      <c r="E98" s="23"/>
      <c r="F98" s="23"/>
      <c r="G98" s="23"/>
      <c r="H98" s="23">
        <v>110</v>
      </c>
      <c r="I98" s="27"/>
      <c r="J98" s="24">
        <f t="shared" si="6"/>
        <v>61060.29</v>
      </c>
      <c r="K98" s="24">
        <f t="shared" si="7"/>
        <v>12615.269999999997</v>
      </c>
    </row>
    <row r="99" spans="2:12" x14ac:dyDescent="0.25">
      <c r="B99" s="76">
        <v>42419</v>
      </c>
      <c r="C99" s="25" t="s">
        <v>13</v>
      </c>
      <c r="D99" s="73"/>
      <c r="E99" s="23"/>
      <c r="F99" s="23"/>
      <c r="G99" s="23"/>
      <c r="H99" s="23">
        <v>1000</v>
      </c>
      <c r="I99" s="27"/>
      <c r="J99" s="24">
        <f t="shared" si="6"/>
        <v>61060.29</v>
      </c>
      <c r="K99" s="24">
        <f t="shared" si="7"/>
        <v>11615.269999999997</v>
      </c>
    </row>
    <row r="100" spans="2:12" x14ac:dyDescent="0.25">
      <c r="B100" s="76">
        <v>42419</v>
      </c>
      <c r="C100" s="25" t="s">
        <v>192</v>
      </c>
      <c r="D100" s="73"/>
      <c r="E100" s="23"/>
      <c r="F100" s="23"/>
      <c r="G100" s="23"/>
      <c r="H100" s="23">
        <v>400</v>
      </c>
      <c r="I100" s="27"/>
      <c r="J100" s="24">
        <f t="shared" si="6"/>
        <v>61060.29</v>
      </c>
      <c r="K100" s="24">
        <f t="shared" si="7"/>
        <v>11215.269999999997</v>
      </c>
    </row>
    <row r="101" spans="2:12" x14ac:dyDescent="0.25">
      <c r="B101" s="41">
        <v>42419</v>
      </c>
      <c r="C101" s="25" t="s">
        <v>149</v>
      </c>
      <c r="D101" s="73"/>
      <c r="E101" s="23"/>
      <c r="F101" s="23"/>
      <c r="G101" s="23"/>
      <c r="H101" s="23">
        <v>488.79</v>
      </c>
      <c r="I101" s="27"/>
      <c r="J101" s="24">
        <f t="shared" si="6"/>
        <v>61060.29</v>
      </c>
      <c r="K101" s="24">
        <f t="shared" si="7"/>
        <v>10726.479999999996</v>
      </c>
    </row>
    <row r="102" spans="2:12" x14ac:dyDescent="0.25">
      <c r="B102" s="41">
        <v>42419</v>
      </c>
      <c r="C102" s="25" t="s">
        <v>149</v>
      </c>
      <c r="D102" s="73"/>
      <c r="E102" s="23"/>
      <c r="F102" s="23"/>
      <c r="G102" s="23"/>
      <c r="H102" s="23">
        <v>20</v>
      </c>
      <c r="I102" s="27"/>
      <c r="J102" s="24">
        <f t="shared" si="6"/>
        <v>61060.29</v>
      </c>
      <c r="K102" s="24">
        <f t="shared" si="7"/>
        <v>10706.479999999996</v>
      </c>
    </row>
    <row r="103" spans="2:12" x14ac:dyDescent="0.25">
      <c r="B103" s="41">
        <v>42420</v>
      </c>
      <c r="C103" s="25" t="s">
        <v>193</v>
      </c>
      <c r="D103" s="73"/>
      <c r="E103" s="23"/>
      <c r="F103" s="23"/>
      <c r="G103" s="23"/>
      <c r="H103" s="23">
        <v>263.2</v>
      </c>
      <c r="I103" s="27"/>
      <c r="J103" s="24">
        <f t="shared" si="6"/>
        <v>61060.29</v>
      </c>
      <c r="K103" s="24">
        <f t="shared" si="7"/>
        <v>10443.279999999995</v>
      </c>
    </row>
    <row r="104" spans="2:12" x14ac:dyDescent="0.25">
      <c r="B104" s="41">
        <v>42421</v>
      </c>
      <c r="C104" s="25" t="s">
        <v>146</v>
      </c>
      <c r="D104" s="73"/>
      <c r="E104" s="23"/>
      <c r="F104" s="23"/>
      <c r="G104" s="23"/>
      <c r="H104" s="23">
        <v>63</v>
      </c>
      <c r="I104" s="27"/>
      <c r="J104" s="24">
        <f t="shared" si="6"/>
        <v>61060.29</v>
      </c>
      <c r="K104" s="24">
        <f t="shared" si="7"/>
        <v>10380.279999999995</v>
      </c>
    </row>
    <row r="105" spans="2:12" x14ac:dyDescent="0.25">
      <c r="B105" s="41">
        <v>42421</v>
      </c>
      <c r="C105" s="25" t="s">
        <v>194</v>
      </c>
      <c r="D105" s="73"/>
      <c r="E105" s="23"/>
      <c r="F105" s="23"/>
      <c r="G105" s="23"/>
      <c r="H105" s="23">
        <v>79.2</v>
      </c>
      <c r="I105" s="27"/>
      <c r="J105" s="24">
        <f>+J104+E105-G105</f>
        <v>61060.29</v>
      </c>
      <c r="K105" s="24">
        <f>+K104+D105-H105</f>
        <v>10301.079999999994</v>
      </c>
      <c r="L105" s="1"/>
    </row>
    <row r="106" spans="2:12" x14ac:dyDescent="0.25">
      <c r="B106" s="41">
        <v>42422</v>
      </c>
      <c r="C106" s="25" t="s">
        <v>97</v>
      </c>
      <c r="D106" s="73"/>
      <c r="E106" s="23"/>
      <c r="F106" s="23"/>
      <c r="G106" s="23"/>
      <c r="H106" s="23">
        <v>110</v>
      </c>
      <c r="I106" s="27"/>
      <c r="J106" s="24">
        <f t="shared" si="6"/>
        <v>61060.29</v>
      </c>
      <c r="K106" s="24">
        <f t="shared" si="7"/>
        <v>10191.079999999994</v>
      </c>
    </row>
    <row r="107" spans="2:12" x14ac:dyDescent="0.25">
      <c r="B107" s="41">
        <v>42422</v>
      </c>
      <c r="C107" s="25" t="s">
        <v>195</v>
      </c>
      <c r="D107" s="73"/>
      <c r="E107" s="23"/>
      <c r="F107" s="23"/>
      <c r="G107" s="23"/>
      <c r="H107" s="23">
        <v>20</v>
      </c>
      <c r="I107" s="27"/>
      <c r="J107" s="24">
        <f t="shared" si="6"/>
        <v>61060.29</v>
      </c>
      <c r="K107" s="24">
        <f t="shared" si="7"/>
        <v>10171.079999999994</v>
      </c>
    </row>
    <row r="108" spans="2:12" x14ac:dyDescent="0.25">
      <c r="B108" s="41">
        <v>42424</v>
      </c>
      <c r="C108" s="21" t="s">
        <v>196</v>
      </c>
      <c r="D108" s="73">
        <v>15180</v>
      </c>
      <c r="E108" s="23"/>
      <c r="F108" s="23"/>
      <c r="G108" s="23"/>
      <c r="H108" s="23"/>
      <c r="I108" s="27"/>
      <c r="J108" s="24">
        <f t="shared" si="6"/>
        <v>61060.29</v>
      </c>
      <c r="K108" s="24">
        <f t="shared" si="7"/>
        <v>25351.079999999994</v>
      </c>
    </row>
    <row r="109" spans="2:12" ht="15.75" thickBot="1" x14ac:dyDescent="0.3">
      <c r="B109" s="41">
        <v>42424</v>
      </c>
      <c r="C109" s="25" t="s">
        <v>197</v>
      </c>
      <c r="D109" s="73"/>
      <c r="E109" s="23"/>
      <c r="F109" s="23"/>
      <c r="G109" s="23"/>
      <c r="H109" s="23">
        <v>1200</v>
      </c>
      <c r="I109" s="27"/>
      <c r="J109" s="24">
        <f t="shared" si="6"/>
        <v>61060.29</v>
      </c>
      <c r="K109" s="24">
        <f t="shared" si="7"/>
        <v>24151.079999999994</v>
      </c>
    </row>
    <row r="110" spans="2:12" ht="15.75" thickBot="1" x14ac:dyDescent="0.3">
      <c r="B110" s="13"/>
      <c r="C110" s="16" t="s">
        <v>0</v>
      </c>
      <c r="D110" s="105">
        <f>SUM(D56:D109)</f>
        <v>65040</v>
      </c>
      <c r="E110" s="103">
        <f>SUM(E56:E109)</f>
        <v>17560.29</v>
      </c>
      <c r="F110" s="114">
        <f>SUM(D110:E110)</f>
        <v>82600.290000000008</v>
      </c>
      <c r="G110" s="126">
        <f>SUM(G58:G109)</f>
        <v>0</v>
      </c>
      <c r="H110" s="144">
        <f>SUM(H58:H109)</f>
        <v>81927.909999999989</v>
      </c>
      <c r="I110" s="114">
        <f>SUM(G110:H110)</f>
        <v>81927.909999999989</v>
      </c>
      <c r="J110" s="33">
        <v>61060.29</v>
      </c>
      <c r="K110" s="33">
        <v>55765.58</v>
      </c>
    </row>
    <row r="111" spans="2:12" x14ac:dyDescent="0.25">
      <c r="B111" s="111" t="s">
        <v>1</v>
      </c>
      <c r="C111" s="111" t="s">
        <v>2</v>
      </c>
      <c r="D111" s="111" t="s">
        <v>3</v>
      </c>
      <c r="E111" s="111" t="s">
        <v>3</v>
      </c>
      <c r="F111" s="111" t="s">
        <v>323</v>
      </c>
      <c r="G111" s="111" t="s">
        <v>324</v>
      </c>
      <c r="H111" s="81" t="s">
        <v>324</v>
      </c>
      <c r="I111" s="81" t="s">
        <v>323</v>
      </c>
      <c r="J111" s="111" t="s">
        <v>174</v>
      </c>
      <c r="K111" s="81" t="s">
        <v>173</v>
      </c>
    </row>
    <row r="112" spans="2:12" ht="15.75" thickBot="1" x14ac:dyDescent="0.3">
      <c r="B112" s="112"/>
      <c r="C112" s="112"/>
      <c r="D112" s="112" t="s">
        <v>6</v>
      </c>
      <c r="E112" s="112" t="s">
        <v>325</v>
      </c>
      <c r="F112" s="112" t="s">
        <v>3</v>
      </c>
      <c r="G112" s="112" t="s">
        <v>325</v>
      </c>
      <c r="H112" s="113" t="s">
        <v>6</v>
      </c>
      <c r="I112" s="113" t="s">
        <v>5</v>
      </c>
      <c r="J112" s="112"/>
      <c r="K112" s="113"/>
    </row>
    <row r="113" spans="2:11" ht="15.75" thickBot="1" x14ac:dyDescent="0.3">
      <c r="B113" s="13"/>
      <c r="C113" s="16" t="s">
        <v>0</v>
      </c>
      <c r="D113" s="105">
        <v>65040</v>
      </c>
      <c r="E113" s="103">
        <v>17560.29</v>
      </c>
      <c r="F113" s="114">
        <f>SUM(D113:E113)</f>
        <v>82600.290000000008</v>
      </c>
      <c r="G113" s="126">
        <v>0</v>
      </c>
      <c r="H113" s="105">
        <v>81927.91</v>
      </c>
      <c r="I113" s="114">
        <f>SUM(G113:H113)</f>
        <v>81927.91</v>
      </c>
      <c r="J113" s="32">
        <v>61060.29</v>
      </c>
      <c r="K113" s="32">
        <v>55765.58</v>
      </c>
    </row>
    <row r="114" spans="2:11" x14ac:dyDescent="0.25">
      <c r="B114" s="41">
        <v>42424</v>
      </c>
      <c r="C114" s="25" t="s">
        <v>198</v>
      </c>
      <c r="D114" s="73"/>
      <c r="E114" s="23"/>
      <c r="F114" s="23"/>
      <c r="G114" s="23"/>
      <c r="H114" s="23">
        <v>360</v>
      </c>
      <c r="I114" s="27"/>
      <c r="J114" s="24">
        <f t="shared" ref="J114" si="8">+J113+E114-G114</f>
        <v>61060.29</v>
      </c>
      <c r="K114" s="24">
        <f t="shared" ref="K114" si="9">+K113+D114-H114</f>
        <v>55405.58</v>
      </c>
    </row>
    <row r="115" spans="2:11" x14ac:dyDescent="0.25">
      <c r="B115" s="41">
        <v>42425</v>
      </c>
      <c r="C115" s="25" t="s">
        <v>199</v>
      </c>
      <c r="D115" s="73"/>
      <c r="E115" s="23"/>
      <c r="F115" s="23"/>
      <c r="G115" s="23"/>
      <c r="H115" s="23">
        <v>1500</v>
      </c>
      <c r="I115" s="27"/>
      <c r="J115" s="24">
        <f t="shared" ref="J115:J128" si="10">+J114+E115-G115</f>
        <v>61060.29</v>
      </c>
      <c r="K115" s="24">
        <f t="shared" ref="K115:K128" si="11">+K114+D115-H115</f>
        <v>53905.58</v>
      </c>
    </row>
    <row r="116" spans="2:11" x14ac:dyDescent="0.25">
      <c r="B116" s="41">
        <v>42425</v>
      </c>
      <c r="C116" s="25" t="s">
        <v>200</v>
      </c>
      <c r="D116" s="73"/>
      <c r="E116" s="23"/>
      <c r="F116" s="23"/>
      <c r="G116" s="23"/>
      <c r="H116" s="23">
        <v>400</v>
      </c>
      <c r="I116" s="27"/>
      <c r="J116" s="24">
        <f t="shared" si="10"/>
        <v>61060.29</v>
      </c>
      <c r="K116" s="24">
        <f t="shared" si="11"/>
        <v>53505.58</v>
      </c>
    </row>
    <row r="117" spans="2:11" x14ac:dyDescent="0.25">
      <c r="B117" s="41">
        <v>42426</v>
      </c>
      <c r="C117" s="25" t="s">
        <v>17</v>
      </c>
      <c r="D117" s="73"/>
      <c r="E117" s="23"/>
      <c r="F117" s="23"/>
      <c r="G117" s="23"/>
      <c r="H117" s="23">
        <v>110</v>
      </c>
      <c r="I117" s="27"/>
      <c r="J117" s="24">
        <f t="shared" si="10"/>
        <v>61060.29</v>
      </c>
      <c r="K117" s="24">
        <f t="shared" si="11"/>
        <v>53395.58</v>
      </c>
    </row>
    <row r="118" spans="2:11" x14ac:dyDescent="0.25">
      <c r="B118" s="41">
        <v>42426</v>
      </c>
      <c r="C118" s="25" t="s">
        <v>13</v>
      </c>
      <c r="D118" s="73"/>
      <c r="E118" s="23"/>
      <c r="F118" s="23"/>
      <c r="G118" s="23"/>
      <c r="H118" s="23">
        <v>1000</v>
      </c>
      <c r="I118" s="27"/>
      <c r="J118" s="24">
        <f>+J117+E118-G118</f>
        <v>61060.29</v>
      </c>
      <c r="K118" s="24">
        <f>+K117+D118-H118</f>
        <v>52395.58</v>
      </c>
    </row>
    <row r="119" spans="2:11" x14ac:dyDescent="0.25">
      <c r="B119" s="41">
        <v>42426</v>
      </c>
      <c r="C119" s="25" t="s">
        <v>201</v>
      </c>
      <c r="D119" s="73"/>
      <c r="E119" s="23"/>
      <c r="F119" s="23"/>
      <c r="G119" s="23"/>
      <c r="H119" s="23">
        <v>925</v>
      </c>
      <c r="I119" s="27"/>
      <c r="J119" s="24">
        <f t="shared" si="10"/>
        <v>61060.29</v>
      </c>
      <c r="K119" s="24">
        <f t="shared" si="11"/>
        <v>51470.58</v>
      </c>
    </row>
    <row r="120" spans="2:11" x14ac:dyDescent="0.25">
      <c r="B120" s="41">
        <v>42429</v>
      </c>
      <c r="C120" s="25" t="s">
        <v>154</v>
      </c>
      <c r="D120" s="73"/>
      <c r="E120" s="23"/>
      <c r="F120" s="23"/>
      <c r="G120" s="23"/>
      <c r="H120" s="23">
        <v>100</v>
      </c>
      <c r="I120" s="27"/>
      <c r="J120" s="24">
        <f t="shared" si="10"/>
        <v>61060.29</v>
      </c>
      <c r="K120" s="24">
        <f t="shared" si="11"/>
        <v>51370.58</v>
      </c>
    </row>
    <row r="121" spans="2:11" x14ac:dyDescent="0.25">
      <c r="B121" s="31">
        <v>42429</v>
      </c>
      <c r="C121" s="25" t="s">
        <v>202</v>
      </c>
      <c r="D121" s="73"/>
      <c r="E121" s="23"/>
      <c r="F121" s="23"/>
      <c r="G121" s="23"/>
      <c r="H121" s="23">
        <v>450</v>
      </c>
      <c r="I121" s="27"/>
      <c r="J121" s="24">
        <f t="shared" si="10"/>
        <v>61060.29</v>
      </c>
      <c r="K121" s="24">
        <f t="shared" si="11"/>
        <v>50920.58</v>
      </c>
    </row>
    <row r="122" spans="2:11" x14ac:dyDescent="0.25">
      <c r="B122" s="31">
        <v>42429</v>
      </c>
      <c r="C122" s="25" t="s">
        <v>203</v>
      </c>
      <c r="D122" s="73"/>
      <c r="E122" s="23"/>
      <c r="F122" s="23"/>
      <c r="G122" s="23"/>
      <c r="H122" s="23">
        <v>650</v>
      </c>
      <c r="I122" s="27"/>
      <c r="J122" s="24">
        <f t="shared" si="10"/>
        <v>61060.29</v>
      </c>
      <c r="K122" s="24">
        <f t="shared" si="11"/>
        <v>50270.58</v>
      </c>
    </row>
    <row r="123" spans="2:11" x14ac:dyDescent="0.25">
      <c r="B123" s="31">
        <v>42429</v>
      </c>
      <c r="C123" s="25" t="s">
        <v>17</v>
      </c>
      <c r="D123" s="73"/>
      <c r="E123" s="23"/>
      <c r="F123" s="23"/>
      <c r="G123" s="23"/>
      <c r="H123" s="23">
        <v>110</v>
      </c>
      <c r="I123" s="27"/>
      <c r="J123" s="24">
        <f t="shared" si="10"/>
        <v>61060.29</v>
      </c>
      <c r="K123" s="24">
        <f t="shared" si="11"/>
        <v>50160.58</v>
      </c>
    </row>
    <row r="124" spans="2:11" x14ac:dyDescent="0.25">
      <c r="B124" s="31">
        <v>42429</v>
      </c>
      <c r="C124" s="25" t="s">
        <v>115</v>
      </c>
      <c r="D124" s="73"/>
      <c r="E124" s="23"/>
      <c r="F124" s="23"/>
      <c r="G124" s="23"/>
      <c r="H124" s="23">
        <v>46</v>
      </c>
      <c r="I124" s="27"/>
      <c r="J124" s="24">
        <f t="shared" si="10"/>
        <v>61060.29</v>
      </c>
      <c r="K124" s="24">
        <f t="shared" si="11"/>
        <v>50114.58</v>
      </c>
    </row>
    <row r="125" spans="2:11" x14ac:dyDescent="0.25">
      <c r="B125" s="31">
        <v>42429</v>
      </c>
      <c r="C125" s="25" t="s">
        <v>115</v>
      </c>
      <c r="D125" s="73"/>
      <c r="E125" s="23"/>
      <c r="F125" s="23"/>
      <c r="G125" s="23"/>
      <c r="H125" s="23">
        <v>105.5</v>
      </c>
      <c r="I125" s="27"/>
      <c r="J125" s="24">
        <f t="shared" si="10"/>
        <v>61060.29</v>
      </c>
      <c r="K125" s="24">
        <f t="shared" si="11"/>
        <v>50009.08</v>
      </c>
    </row>
    <row r="126" spans="2:11" x14ac:dyDescent="0.25">
      <c r="B126" s="31">
        <v>42429</v>
      </c>
      <c r="C126" s="25" t="s">
        <v>207</v>
      </c>
      <c r="D126" s="73"/>
      <c r="E126" s="23"/>
      <c r="F126" s="23"/>
      <c r="G126" s="23"/>
      <c r="H126" s="23">
        <v>800</v>
      </c>
      <c r="I126" s="27"/>
      <c r="J126" s="24">
        <f t="shared" si="10"/>
        <v>61060.29</v>
      </c>
      <c r="K126" s="24">
        <f t="shared" si="11"/>
        <v>49209.08</v>
      </c>
    </row>
    <row r="127" spans="2:11" x14ac:dyDescent="0.25">
      <c r="B127" s="31">
        <v>42429</v>
      </c>
      <c r="C127" s="25" t="s">
        <v>206</v>
      </c>
      <c r="D127" s="73"/>
      <c r="E127" s="23"/>
      <c r="F127" s="23"/>
      <c r="G127" s="23"/>
      <c r="H127" s="23">
        <v>2700</v>
      </c>
      <c r="I127" s="27"/>
      <c r="J127" s="24">
        <f t="shared" si="10"/>
        <v>61060.29</v>
      </c>
      <c r="K127" s="24">
        <f t="shared" si="11"/>
        <v>46509.08</v>
      </c>
    </row>
    <row r="128" spans="2:11" x14ac:dyDescent="0.25">
      <c r="B128" s="31">
        <v>42429</v>
      </c>
      <c r="C128" s="25" t="s">
        <v>205</v>
      </c>
      <c r="D128" s="73"/>
      <c r="E128" s="23"/>
      <c r="F128" s="23"/>
      <c r="G128" s="23"/>
      <c r="H128" s="23">
        <v>29000</v>
      </c>
      <c r="I128" s="27"/>
      <c r="J128" s="24">
        <f t="shared" si="10"/>
        <v>61060.29</v>
      </c>
      <c r="K128" s="24">
        <f t="shared" si="11"/>
        <v>17509.080000000002</v>
      </c>
    </row>
    <row r="129" spans="2:11" x14ac:dyDescent="0.25">
      <c r="B129" s="31">
        <v>42429</v>
      </c>
      <c r="C129" s="25" t="s">
        <v>204</v>
      </c>
      <c r="D129" s="73"/>
      <c r="E129" s="73"/>
      <c r="F129" s="73"/>
      <c r="G129" s="73"/>
      <c r="H129" s="23">
        <v>4000</v>
      </c>
      <c r="I129" s="27"/>
      <c r="J129" s="24">
        <f t="shared" ref="J129" si="12">+J128+E129-G129</f>
        <v>61060.29</v>
      </c>
      <c r="K129" s="24">
        <f t="shared" ref="K129:K130" si="13">+K128+D129-H129</f>
        <v>13509.080000000002</v>
      </c>
    </row>
    <row r="130" spans="2:11" x14ac:dyDescent="0.25">
      <c r="B130" s="31">
        <v>42429</v>
      </c>
      <c r="C130" s="25" t="s">
        <v>328</v>
      </c>
      <c r="D130" s="73">
        <v>17930</v>
      </c>
      <c r="E130" s="73"/>
      <c r="F130" s="73"/>
      <c r="G130" s="28"/>
      <c r="H130" s="23"/>
      <c r="I130" s="27"/>
      <c r="J130" s="24">
        <f>+J129+E130-G130</f>
        <v>61060.29</v>
      </c>
      <c r="K130" s="24">
        <f t="shared" si="13"/>
        <v>31439.08</v>
      </c>
    </row>
    <row r="131" spans="2:11" x14ac:dyDescent="0.25">
      <c r="B131" s="31">
        <v>42409</v>
      </c>
      <c r="C131" s="25" t="s">
        <v>132</v>
      </c>
      <c r="D131" s="73"/>
      <c r="E131" s="73"/>
      <c r="F131" s="73"/>
      <c r="G131" s="73"/>
      <c r="H131" s="23"/>
      <c r="I131" s="27"/>
      <c r="J131" s="24">
        <f>+J130+E131-G131</f>
        <v>61060.29</v>
      </c>
      <c r="K131" s="24">
        <f t="shared" ref="K131" si="14">+K130+D131-H131</f>
        <v>31439.08</v>
      </c>
    </row>
    <row r="132" spans="2:11" ht="15.75" thickBot="1" x14ac:dyDescent="0.3">
      <c r="B132" s="65">
        <v>42409</v>
      </c>
      <c r="C132" s="62" t="s">
        <v>1124</v>
      </c>
      <c r="D132" s="73"/>
      <c r="E132" s="73"/>
      <c r="F132" s="23"/>
      <c r="G132" s="73"/>
      <c r="H132" s="23"/>
      <c r="I132" s="27"/>
      <c r="J132" s="24">
        <f>+J131+E132-G132</f>
        <v>61060.29</v>
      </c>
      <c r="K132" s="24">
        <f>+K131+D132-H132</f>
        <v>31439.08</v>
      </c>
    </row>
    <row r="133" spans="2:11" ht="15.75" thickBot="1" x14ac:dyDescent="0.3">
      <c r="B133" s="13"/>
      <c r="C133" s="16" t="s">
        <v>0</v>
      </c>
      <c r="D133" s="105">
        <f>SUM(D113:D132)</f>
        <v>82970</v>
      </c>
      <c r="E133" s="103">
        <f>SUM(E113:E132)</f>
        <v>17560.29</v>
      </c>
      <c r="F133" s="114">
        <f>SUM(D133:E133)</f>
        <v>100530.29000000001</v>
      </c>
      <c r="G133" s="126">
        <f>SUM(G113:G132)</f>
        <v>0</v>
      </c>
      <c r="H133" s="105">
        <f>SUM(H113:H132)</f>
        <v>124184.41</v>
      </c>
      <c r="I133" s="114">
        <f>SUM(G133:H133)</f>
        <v>124184.41</v>
      </c>
      <c r="J133" s="32"/>
      <c r="K133" s="32"/>
    </row>
    <row r="134" spans="2:11" ht="15.75" thickBot="1" x14ac:dyDescent="0.3"/>
    <row r="135" spans="2:11" ht="15.75" thickBot="1" x14ac:dyDescent="0.3">
      <c r="I135" s="117" t="s">
        <v>174</v>
      </c>
      <c r="J135" s="117" t="s">
        <v>173</v>
      </c>
      <c r="K135" s="141" t="s">
        <v>0</v>
      </c>
    </row>
    <row r="136" spans="2:11" ht="15.75" thickBot="1" x14ac:dyDescent="0.3">
      <c r="I136" s="120">
        <v>61060.29</v>
      </c>
      <c r="J136" s="120">
        <v>31439.08</v>
      </c>
      <c r="K136" s="33">
        <f>SUM(I136:J136)</f>
        <v>92499.37</v>
      </c>
    </row>
  </sheetData>
  <printOptions verticalCentered="1"/>
  <pageMargins left="0.70866141732283472" right="0" top="0.39370078740157483" bottom="0" header="0.31496062992125984" footer="0.31496062992125984"/>
  <pageSetup paperSize="9" scale="69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N152"/>
  <sheetViews>
    <sheetView topLeftCell="C1" zoomScale="103" zoomScaleNormal="103" workbookViewId="0">
      <pane ySplit="5" topLeftCell="A147" activePane="bottomLeft" state="frozen"/>
      <selection pane="bottomLeft" activeCell="N158" sqref="N158"/>
    </sheetView>
  </sheetViews>
  <sheetFormatPr baseColWidth="10" defaultRowHeight="15" x14ac:dyDescent="0.25"/>
  <cols>
    <col min="1" max="2" width="10.7109375" customWidth="1"/>
    <col min="3" max="3" width="67.5703125" bestFit="1" customWidth="1"/>
    <col min="4" max="5" width="9.7109375" customWidth="1"/>
    <col min="6" max="9" width="10.7109375" customWidth="1"/>
    <col min="10" max="11" width="9.7109375" customWidth="1"/>
  </cols>
  <sheetData>
    <row r="1" spans="2:11" ht="15.75" x14ac:dyDescent="0.25">
      <c r="B1" s="45">
        <v>42460</v>
      </c>
      <c r="J1" s="115" t="s">
        <v>326</v>
      </c>
      <c r="K1" s="79"/>
    </row>
    <row r="2" spans="2:11" ht="15.75" thickBot="1" x14ac:dyDescent="0.3">
      <c r="B2" s="154" t="s">
        <v>11</v>
      </c>
      <c r="C2" s="154"/>
      <c r="D2" s="154"/>
      <c r="E2" s="154"/>
      <c r="F2" s="154"/>
      <c r="G2" s="154"/>
      <c r="H2" s="154"/>
      <c r="I2" s="154"/>
      <c r="J2" s="154"/>
      <c r="K2" s="154"/>
    </row>
    <row r="3" spans="2:11" x14ac:dyDescent="0.25">
      <c r="B3" s="111" t="s">
        <v>1</v>
      </c>
      <c r="C3" s="111" t="s">
        <v>2</v>
      </c>
      <c r="D3" s="111" t="s">
        <v>3</v>
      </c>
      <c r="E3" s="111" t="s">
        <v>3</v>
      </c>
      <c r="F3" s="111" t="s">
        <v>323</v>
      </c>
      <c r="G3" s="111" t="s">
        <v>324</v>
      </c>
      <c r="H3" s="81" t="s">
        <v>324</v>
      </c>
      <c r="I3" s="81" t="s">
        <v>323</v>
      </c>
      <c r="J3" s="111" t="s">
        <v>174</v>
      </c>
      <c r="K3" s="81" t="s">
        <v>173</v>
      </c>
    </row>
    <row r="4" spans="2:11" ht="15.75" thickBot="1" x14ac:dyDescent="0.3">
      <c r="B4" s="112"/>
      <c r="C4" s="112"/>
      <c r="D4" s="112" t="s">
        <v>6</v>
      </c>
      <c r="E4" s="112" t="s">
        <v>325</v>
      </c>
      <c r="F4" s="112" t="s">
        <v>3</v>
      </c>
      <c r="G4" s="112" t="s">
        <v>325</v>
      </c>
      <c r="H4" s="113" t="s">
        <v>6</v>
      </c>
      <c r="I4" s="113" t="s">
        <v>5</v>
      </c>
      <c r="J4" s="112"/>
      <c r="K4" s="113"/>
    </row>
    <row r="5" spans="2:11" x14ac:dyDescent="0.25">
      <c r="B5" s="36">
        <v>42429</v>
      </c>
      <c r="C5" s="108" t="s">
        <v>208</v>
      </c>
      <c r="D5" s="109"/>
      <c r="E5" s="106"/>
      <c r="F5" s="106"/>
      <c r="G5" s="106"/>
      <c r="H5" s="30"/>
      <c r="I5" s="107"/>
      <c r="J5" s="116">
        <v>61060.29</v>
      </c>
      <c r="K5" s="110">
        <v>31439.08</v>
      </c>
    </row>
    <row r="6" spans="2:11" x14ac:dyDescent="0.25">
      <c r="B6" s="36">
        <v>42431</v>
      </c>
      <c r="C6" s="21" t="s">
        <v>209</v>
      </c>
      <c r="D6" s="22"/>
      <c r="E6" s="22"/>
      <c r="F6" s="22"/>
      <c r="G6" s="22"/>
      <c r="H6" s="23">
        <v>700</v>
      </c>
      <c r="I6" s="23"/>
      <c r="J6" s="24">
        <f t="shared" ref="J6" si="0">+J5+E6-G6</f>
        <v>61060.29</v>
      </c>
      <c r="K6" s="24">
        <f>+K5+D6-H6</f>
        <v>30739.08</v>
      </c>
    </row>
    <row r="7" spans="2:11" ht="15.75" x14ac:dyDescent="0.25">
      <c r="B7" s="31">
        <v>42432</v>
      </c>
      <c r="C7" s="21" t="s">
        <v>210</v>
      </c>
      <c r="D7" s="59"/>
      <c r="E7" s="59"/>
      <c r="F7" s="59"/>
      <c r="G7" s="59"/>
      <c r="H7" s="93">
        <v>200</v>
      </c>
      <c r="I7" s="93"/>
      <c r="J7" s="24">
        <f t="shared" ref="J7:J42" si="1">+J6+E7-G7</f>
        <v>61060.29</v>
      </c>
      <c r="K7" s="24">
        <f t="shared" ref="K7:K42" si="2">+K6+D7-H7</f>
        <v>30539.08</v>
      </c>
    </row>
    <row r="8" spans="2:11" x14ac:dyDescent="0.25">
      <c r="B8" s="31">
        <v>42432</v>
      </c>
      <c r="C8" s="25" t="s">
        <v>211</v>
      </c>
      <c r="D8" s="23"/>
      <c r="E8" s="23"/>
      <c r="F8" s="23"/>
      <c r="G8" s="23"/>
      <c r="H8" s="23">
        <v>130</v>
      </c>
      <c r="I8" s="23"/>
      <c r="J8" s="24">
        <f t="shared" si="1"/>
        <v>61060.29</v>
      </c>
      <c r="K8" s="24">
        <f t="shared" si="2"/>
        <v>30409.08</v>
      </c>
    </row>
    <row r="9" spans="2:11" x14ac:dyDescent="0.25">
      <c r="B9" s="31">
        <v>42432</v>
      </c>
      <c r="C9" s="25" t="s">
        <v>212</v>
      </c>
      <c r="D9" s="23"/>
      <c r="E9" s="23"/>
      <c r="F9" s="23"/>
      <c r="G9" s="23"/>
      <c r="H9" s="23">
        <v>60</v>
      </c>
      <c r="I9" s="23"/>
      <c r="J9" s="24">
        <f t="shared" si="1"/>
        <v>61060.29</v>
      </c>
      <c r="K9" s="24">
        <f t="shared" si="2"/>
        <v>30349.08</v>
      </c>
    </row>
    <row r="10" spans="2:11" x14ac:dyDescent="0.25">
      <c r="B10" s="31">
        <v>42432</v>
      </c>
      <c r="C10" s="37" t="s">
        <v>233</v>
      </c>
      <c r="D10" s="23"/>
      <c r="E10" s="23"/>
      <c r="F10" s="23"/>
      <c r="G10" s="23"/>
      <c r="H10" s="23">
        <v>219</v>
      </c>
      <c r="I10" s="27"/>
      <c r="J10" s="24">
        <f t="shared" si="1"/>
        <v>61060.29</v>
      </c>
      <c r="K10" s="24">
        <f t="shared" si="2"/>
        <v>30130.080000000002</v>
      </c>
    </row>
    <row r="11" spans="2:11" x14ac:dyDescent="0.25">
      <c r="B11" s="31">
        <v>42433</v>
      </c>
      <c r="C11" s="37" t="s">
        <v>213</v>
      </c>
      <c r="D11" s="23"/>
      <c r="E11" s="23"/>
      <c r="F11" s="23"/>
      <c r="G11" s="27"/>
      <c r="H11" s="23">
        <v>400</v>
      </c>
      <c r="I11" s="23"/>
      <c r="J11" s="24">
        <f t="shared" si="1"/>
        <v>61060.29</v>
      </c>
      <c r="K11" s="24">
        <f t="shared" si="2"/>
        <v>29730.080000000002</v>
      </c>
    </row>
    <row r="12" spans="2:11" x14ac:dyDescent="0.25">
      <c r="B12" s="31">
        <v>42433</v>
      </c>
      <c r="C12" s="25" t="s">
        <v>214</v>
      </c>
      <c r="D12" s="23"/>
      <c r="E12" s="23"/>
      <c r="F12" s="23"/>
      <c r="G12" s="23"/>
      <c r="H12" s="23">
        <v>73.900000000000006</v>
      </c>
      <c r="I12" s="23"/>
      <c r="J12" s="24">
        <f t="shared" si="1"/>
        <v>61060.29</v>
      </c>
      <c r="K12" s="24">
        <f t="shared" si="2"/>
        <v>29656.18</v>
      </c>
    </row>
    <row r="13" spans="2:11" x14ac:dyDescent="0.25">
      <c r="B13" s="31">
        <v>42433</v>
      </c>
      <c r="C13" s="25" t="s">
        <v>97</v>
      </c>
      <c r="D13" s="23"/>
      <c r="E13" s="23"/>
      <c r="F13" s="23"/>
      <c r="G13" s="23"/>
      <c r="H13" s="23">
        <v>110</v>
      </c>
      <c r="I13" s="23"/>
      <c r="J13" s="24">
        <f t="shared" si="1"/>
        <v>61060.29</v>
      </c>
      <c r="K13" s="24">
        <f t="shared" si="2"/>
        <v>29546.18</v>
      </c>
    </row>
    <row r="14" spans="2:11" x14ac:dyDescent="0.25">
      <c r="B14" s="31">
        <v>42433</v>
      </c>
      <c r="C14" s="37" t="s">
        <v>215</v>
      </c>
      <c r="D14" s="23"/>
      <c r="E14" s="23"/>
      <c r="F14" s="23"/>
      <c r="G14" s="23"/>
      <c r="H14" s="23">
        <v>161</v>
      </c>
      <c r="I14" s="27"/>
      <c r="J14" s="24">
        <f t="shared" si="1"/>
        <v>61060.29</v>
      </c>
      <c r="K14" s="24">
        <f t="shared" si="2"/>
        <v>29385.18</v>
      </c>
    </row>
    <row r="15" spans="2:11" x14ac:dyDescent="0.25">
      <c r="B15" s="31">
        <v>42433</v>
      </c>
      <c r="C15" s="26" t="s">
        <v>216</v>
      </c>
      <c r="D15" s="23"/>
      <c r="E15" s="23"/>
      <c r="F15" s="23"/>
      <c r="G15" s="23"/>
      <c r="H15" s="23">
        <v>40</v>
      </c>
      <c r="I15" s="23"/>
      <c r="J15" s="24">
        <f t="shared" si="1"/>
        <v>61060.29</v>
      </c>
      <c r="K15" s="24">
        <f t="shared" si="2"/>
        <v>29345.18</v>
      </c>
    </row>
    <row r="16" spans="2:11" x14ac:dyDescent="0.25">
      <c r="B16" s="31">
        <v>42433</v>
      </c>
      <c r="C16" s="25" t="s">
        <v>217</v>
      </c>
      <c r="D16" s="23"/>
      <c r="E16" s="23"/>
      <c r="F16" s="23"/>
      <c r="G16" s="23"/>
      <c r="H16" s="23">
        <v>984</v>
      </c>
      <c r="I16" s="23"/>
      <c r="J16" s="24">
        <f t="shared" si="1"/>
        <v>61060.29</v>
      </c>
      <c r="K16" s="24">
        <f t="shared" si="2"/>
        <v>28361.18</v>
      </c>
    </row>
    <row r="17" spans="2:11" x14ac:dyDescent="0.25">
      <c r="B17" s="31">
        <v>42433</v>
      </c>
      <c r="C17" s="25" t="s">
        <v>218</v>
      </c>
      <c r="D17" s="23"/>
      <c r="E17" s="23"/>
      <c r="F17" s="23"/>
      <c r="G17" s="23"/>
      <c r="H17" s="23">
        <v>20</v>
      </c>
      <c r="I17" s="23"/>
      <c r="J17" s="24">
        <f t="shared" si="1"/>
        <v>61060.29</v>
      </c>
      <c r="K17" s="24">
        <f t="shared" si="2"/>
        <v>28341.18</v>
      </c>
    </row>
    <row r="18" spans="2:11" x14ac:dyDescent="0.25">
      <c r="B18" s="31">
        <v>42433</v>
      </c>
      <c r="C18" s="25" t="s">
        <v>219</v>
      </c>
      <c r="D18" s="23"/>
      <c r="E18" s="23"/>
      <c r="F18" s="23"/>
      <c r="G18" s="23"/>
      <c r="H18" s="23">
        <v>1000</v>
      </c>
      <c r="I18" s="23"/>
      <c r="J18" s="24">
        <f t="shared" si="1"/>
        <v>61060.29</v>
      </c>
      <c r="K18" s="24">
        <f t="shared" si="2"/>
        <v>27341.18</v>
      </c>
    </row>
    <row r="19" spans="2:11" x14ac:dyDescent="0.25">
      <c r="B19" s="38">
        <v>42433</v>
      </c>
      <c r="C19" s="25" t="s">
        <v>220</v>
      </c>
      <c r="D19" s="23"/>
      <c r="E19" s="23"/>
      <c r="F19" s="23"/>
      <c r="G19" s="23"/>
      <c r="H19" s="23">
        <v>70</v>
      </c>
      <c r="I19" s="23"/>
      <c r="J19" s="24">
        <f t="shared" si="1"/>
        <v>61060.29</v>
      </c>
      <c r="K19" s="24">
        <f t="shared" si="2"/>
        <v>27271.18</v>
      </c>
    </row>
    <row r="20" spans="2:11" x14ac:dyDescent="0.25">
      <c r="B20" s="38">
        <v>42433</v>
      </c>
      <c r="C20" s="25" t="s">
        <v>221</v>
      </c>
      <c r="D20" s="23"/>
      <c r="E20" s="23"/>
      <c r="F20" s="23"/>
      <c r="G20" s="23"/>
      <c r="H20" s="23">
        <v>900</v>
      </c>
      <c r="I20" s="23"/>
      <c r="J20" s="24">
        <f t="shared" si="1"/>
        <v>61060.29</v>
      </c>
      <c r="K20" s="24">
        <f t="shared" si="2"/>
        <v>26371.18</v>
      </c>
    </row>
    <row r="21" spans="2:11" x14ac:dyDescent="0.25">
      <c r="B21" s="38">
        <v>42433</v>
      </c>
      <c r="C21" s="25" t="s">
        <v>213</v>
      </c>
      <c r="D21" s="23"/>
      <c r="E21" s="23"/>
      <c r="F21" s="23"/>
      <c r="G21" s="23"/>
      <c r="H21" s="23">
        <v>400</v>
      </c>
      <c r="I21" s="23"/>
      <c r="J21" s="24">
        <f t="shared" si="1"/>
        <v>61060.29</v>
      </c>
      <c r="K21" s="24">
        <f t="shared" si="2"/>
        <v>25971.18</v>
      </c>
    </row>
    <row r="22" spans="2:11" x14ac:dyDescent="0.25">
      <c r="B22" s="31">
        <v>42434</v>
      </c>
      <c r="C22" s="25" t="s">
        <v>222</v>
      </c>
      <c r="D22" s="23"/>
      <c r="E22" s="23"/>
      <c r="F22" s="23"/>
      <c r="G22" s="23"/>
      <c r="H22" s="23">
        <v>330</v>
      </c>
      <c r="I22" s="23"/>
      <c r="J22" s="24">
        <f t="shared" si="1"/>
        <v>61060.29</v>
      </c>
      <c r="K22" s="24">
        <f t="shared" si="2"/>
        <v>25641.18</v>
      </c>
    </row>
    <row r="23" spans="2:11" x14ac:dyDescent="0.25">
      <c r="B23" s="31">
        <v>42435</v>
      </c>
      <c r="C23" s="25" t="s">
        <v>223</v>
      </c>
      <c r="D23" s="23"/>
      <c r="E23" s="23"/>
      <c r="F23" s="23"/>
      <c r="G23" s="23"/>
      <c r="H23" s="23">
        <v>72</v>
      </c>
      <c r="I23" s="23"/>
      <c r="J23" s="24">
        <f t="shared" si="1"/>
        <v>61060.29</v>
      </c>
      <c r="K23" s="24">
        <f t="shared" si="2"/>
        <v>25569.18</v>
      </c>
    </row>
    <row r="24" spans="2:11" x14ac:dyDescent="0.25">
      <c r="B24" s="36">
        <v>42435</v>
      </c>
      <c r="C24" s="25" t="s">
        <v>224</v>
      </c>
      <c r="D24" s="30"/>
      <c r="E24" s="30"/>
      <c r="F24" s="30"/>
      <c r="G24" s="30"/>
      <c r="H24" s="30">
        <v>150</v>
      </c>
      <c r="I24" s="30"/>
      <c r="J24" s="24">
        <f t="shared" si="1"/>
        <v>61060.29</v>
      </c>
      <c r="K24" s="24">
        <f t="shared" si="2"/>
        <v>25419.18</v>
      </c>
    </row>
    <row r="25" spans="2:11" x14ac:dyDescent="0.25">
      <c r="B25" s="36">
        <v>42435</v>
      </c>
      <c r="C25" s="25" t="s">
        <v>231</v>
      </c>
      <c r="D25" s="30"/>
      <c r="E25" s="30"/>
      <c r="F25" s="30"/>
      <c r="G25" s="30"/>
      <c r="H25" s="30">
        <v>150</v>
      </c>
      <c r="I25" s="30"/>
      <c r="J25" s="24">
        <f t="shared" si="1"/>
        <v>61060.29</v>
      </c>
      <c r="K25" s="24">
        <f t="shared" si="2"/>
        <v>25269.18</v>
      </c>
    </row>
    <row r="26" spans="2:11" x14ac:dyDescent="0.25">
      <c r="B26" s="31">
        <v>42436</v>
      </c>
      <c r="C26" s="25" t="s">
        <v>225</v>
      </c>
      <c r="D26" s="23"/>
      <c r="E26" s="23"/>
      <c r="F26" s="23"/>
      <c r="G26" s="23"/>
      <c r="H26" s="23">
        <v>600</v>
      </c>
      <c r="I26" s="23"/>
      <c r="J26" s="24">
        <f t="shared" si="1"/>
        <v>61060.29</v>
      </c>
      <c r="K26" s="24">
        <f t="shared" si="2"/>
        <v>24669.18</v>
      </c>
    </row>
    <row r="27" spans="2:11" x14ac:dyDescent="0.25">
      <c r="B27" s="31">
        <v>42436</v>
      </c>
      <c r="C27" s="25" t="s">
        <v>226</v>
      </c>
      <c r="D27" s="23"/>
      <c r="E27" s="23"/>
      <c r="F27" s="23"/>
      <c r="G27" s="23"/>
      <c r="H27" s="23">
        <v>2050</v>
      </c>
      <c r="I27" s="23"/>
      <c r="J27" s="24">
        <f t="shared" si="1"/>
        <v>61060.29</v>
      </c>
      <c r="K27" s="24">
        <f t="shared" si="2"/>
        <v>22619.18</v>
      </c>
    </row>
    <row r="28" spans="2:11" x14ac:dyDescent="0.25">
      <c r="B28" s="38">
        <v>42436</v>
      </c>
      <c r="C28" s="25" t="s">
        <v>227</v>
      </c>
      <c r="D28" s="23"/>
      <c r="E28" s="23"/>
      <c r="F28" s="23"/>
      <c r="G28" s="23"/>
      <c r="H28" s="23">
        <v>263.2</v>
      </c>
      <c r="I28" s="23"/>
      <c r="J28" s="24">
        <f t="shared" si="1"/>
        <v>61060.29</v>
      </c>
      <c r="K28" s="24">
        <f t="shared" si="2"/>
        <v>22355.98</v>
      </c>
    </row>
    <row r="29" spans="2:11" x14ac:dyDescent="0.25">
      <c r="B29" s="31">
        <v>42436</v>
      </c>
      <c r="C29" s="46" t="s">
        <v>228</v>
      </c>
      <c r="D29" s="23"/>
      <c r="E29" s="23"/>
      <c r="F29" s="23"/>
      <c r="G29" s="23"/>
      <c r="H29" s="23">
        <v>6799</v>
      </c>
      <c r="I29" s="23"/>
      <c r="J29" s="24">
        <f t="shared" si="1"/>
        <v>61060.29</v>
      </c>
      <c r="K29" s="24">
        <f t="shared" si="2"/>
        <v>15556.98</v>
      </c>
    </row>
    <row r="30" spans="2:11" x14ac:dyDescent="0.25">
      <c r="B30" s="31">
        <v>42436</v>
      </c>
      <c r="C30" s="25" t="s">
        <v>229</v>
      </c>
      <c r="D30" s="23"/>
      <c r="E30" s="23"/>
      <c r="F30" s="23"/>
      <c r="G30" s="23"/>
      <c r="H30" s="23">
        <v>25</v>
      </c>
      <c r="I30" s="23"/>
      <c r="J30" s="24">
        <f t="shared" si="1"/>
        <v>61060.29</v>
      </c>
      <c r="K30" s="24">
        <f t="shared" si="2"/>
        <v>15531.98</v>
      </c>
    </row>
    <row r="31" spans="2:11" x14ac:dyDescent="0.25">
      <c r="B31" s="31">
        <v>42436</v>
      </c>
      <c r="C31" s="25" t="s">
        <v>230</v>
      </c>
      <c r="D31" s="23"/>
      <c r="E31" s="23"/>
      <c r="F31" s="23"/>
      <c r="G31" s="23"/>
      <c r="H31" s="23">
        <v>30</v>
      </c>
      <c r="I31" s="23"/>
      <c r="J31" s="24">
        <f t="shared" si="1"/>
        <v>61060.29</v>
      </c>
      <c r="K31" s="24">
        <f t="shared" si="2"/>
        <v>15501.98</v>
      </c>
    </row>
    <row r="32" spans="2:11" x14ac:dyDescent="0.25">
      <c r="B32" s="38">
        <v>42436</v>
      </c>
      <c r="C32" s="25" t="s">
        <v>231</v>
      </c>
      <c r="D32" s="23"/>
      <c r="E32" s="23"/>
      <c r="F32" s="23"/>
      <c r="G32" s="23"/>
      <c r="H32" s="23">
        <v>72</v>
      </c>
      <c r="I32" s="23"/>
      <c r="J32" s="24">
        <f t="shared" si="1"/>
        <v>61060.29</v>
      </c>
      <c r="K32" s="24">
        <f t="shared" si="2"/>
        <v>15429.98</v>
      </c>
    </row>
    <row r="33" spans="2:11" x14ac:dyDescent="0.25">
      <c r="B33" s="31">
        <v>42436</v>
      </c>
      <c r="C33" s="25" t="s">
        <v>232</v>
      </c>
      <c r="D33" s="23">
        <v>39280</v>
      </c>
      <c r="E33" s="23"/>
      <c r="F33" s="23"/>
      <c r="G33" s="23"/>
      <c r="H33" s="23"/>
      <c r="I33" s="23"/>
      <c r="J33" s="24">
        <f t="shared" si="1"/>
        <v>61060.29</v>
      </c>
      <c r="K33" s="24">
        <f t="shared" si="2"/>
        <v>54709.979999999996</v>
      </c>
    </row>
    <row r="34" spans="2:11" x14ac:dyDescent="0.25">
      <c r="B34" s="31">
        <v>42437</v>
      </c>
      <c r="C34" s="25" t="s">
        <v>302</v>
      </c>
      <c r="D34" s="23"/>
      <c r="E34" s="23">
        <v>12760</v>
      </c>
      <c r="F34" s="23"/>
      <c r="G34" s="23"/>
      <c r="H34" s="23"/>
      <c r="I34" s="23"/>
      <c r="J34" s="24">
        <f t="shared" si="1"/>
        <v>73820.290000000008</v>
      </c>
      <c r="K34" s="24">
        <f t="shared" si="2"/>
        <v>54709.979999999996</v>
      </c>
    </row>
    <row r="35" spans="2:11" x14ac:dyDescent="0.25">
      <c r="B35" s="31">
        <v>42438</v>
      </c>
      <c r="C35" s="57" t="s">
        <v>305</v>
      </c>
      <c r="D35" s="23"/>
      <c r="E35" s="23">
        <v>300</v>
      </c>
      <c r="F35" s="23"/>
      <c r="G35" s="23"/>
      <c r="H35" s="23"/>
      <c r="I35" s="23"/>
      <c r="J35" s="24">
        <f t="shared" si="1"/>
        <v>74120.290000000008</v>
      </c>
      <c r="K35" s="24">
        <f t="shared" si="2"/>
        <v>54709.979999999996</v>
      </c>
    </row>
    <row r="36" spans="2:11" x14ac:dyDescent="0.25">
      <c r="B36" s="31">
        <v>42438</v>
      </c>
      <c r="C36" s="62" t="s">
        <v>234</v>
      </c>
      <c r="D36" s="73"/>
      <c r="E36" s="73"/>
      <c r="F36" s="73"/>
      <c r="G36" s="73"/>
      <c r="H36" s="23">
        <v>1760</v>
      </c>
      <c r="I36" s="23"/>
      <c r="J36" s="24">
        <f t="shared" si="1"/>
        <v>74120.290000000008</v>
      </c>
      <c r="K36" s="24">
        <f t="shared" si="2"/>
        <v>52949.979999999996</v>
      </c>
    </row>
    <row r="37" spans="2:11" x14ac:dyDescent="0.25">
      <c r="B37" s="31">
        <v>42438</v>
      </c>
      <c r="C37" s="60" t="s">
        <v>235</v>
      </c>
      <c r="D37" s="73"/>
      <c r="E37" s="73"/>
      <c r="F37" s="73"/>
      <c r="G37" s="73"/>
      <c r="H37" s="23">
        <v>1224</v>
      </c>
      <c r="I37" s="23"/>
      <c r="J37" s="24">
        <f t="shared" si="1"/>
        <v>74120.290000000008</v>
      </c>
      <c r="K37" s="24">
        <f t="shared" si="2"/>
        <v>51725.979999999996</v>
      </c>
    </row>
    <row r="38" spans="2:11" x14ac:dyDescent="0.25">
      <c r="B38" s="31">
        <v>42438</v>
      </c>
      <c r="C38" s="25" t="s">
        <v>236</v>
      </c>
      <c r="D38" s="23"/>
      <c r="E38" s="23"/>
      <c r="F38" s="23"/>
      <c r="G38" s="23"/>
      <c r="H38" s="23">
        <v>100</v>
      </c>
      <c r="I38" s="23"/>
      <c r="J38" s="24">
        <f t="shared" si="1"/>
        <v>74120.290000000008</v>
      </c>
      <c r="K38" s="24">
        <f t="shared" si="2"/>
        <v>51625.979999999996</v>
      </c>
    </row>
    <row r="39" spans="2:11" x14ac:dyDescent="0.25">
      <c r="B39" s="31">
        <v>42530</v>
      </c>
      <c r="C39" s="25" t="s">
        <v>237</v>
      </c>
      <c r="D39" s="23"/>
      <c r="E39" s="23"/>
      <c r="F39" s="23"/>
      <c r="G39" s="23"/>
      <c r="H39" s="23">
        <v>110</v>
      </c>
      <c r="I39" s="23"/>
      <c r="J39" s="24">
        <f t="shared" si="1"/>
        <v>74120.290000000008</v>
      </c>
      <c r="K39" s="24">
        <f t="shared" si="2"/>
        <v>51515.979999999996</v>
      </c>
    </row>
    <row r="40" spans="2:11" x14ac:dyDescent="0.25">
      <c r="B40" s="31">
        <v>42438</v>
      </c>
      <c r="C40" s="25" t="s">
        <v>238</v>
      </c>
      <c r="D40" s="23"/>
      <c r="E40" s="23"/>
      <c r="F40" s="23"/>
      <c r="G40" s="23"/>
      <c r="H40" s="23">
        <v>180</v>
      </c>
      <c r="I40" s="23"/>
      <c r="J40" s="24">
        <f t="shared" si="1"/>
        <v>74120.290000000008</v>
      </c>
      <c r="K40" s="24">
        <f t="shared" si="2"/>
        <v>51335.979999999996</v>
      </c>
    </row>
    <row r="41" spans="2:11" x14ac:dyDescent="0.25">
      <c r="B41" s="31">
        <v>42438</v>
      </c>
      <c r="C41" s="21" t="s">
        <v>301</v>
      </c>
      <c r="D41" s="23"/>
      <c r="E41" s="23">
        <v>1600</v>
      </c>
      <c r="F41" s="23"/>
      <c r="G41" s="23"/>
      <c r="H41" s="23"/>
      <c r="I41" s="23"/>
      <c r="J41" s="24">
        <f t="shared" si="1"/>
        <v>75720.290000000008</v>
      </c>
      <c r="K41" s="24">
        <f t="shared" si="2"/>
        <v>51335.979999999996</v>
      </c>
    </row>
    <row r="42" spans="2:11" ht="15.75" thickBot="1" x14ac:dyDescent="0.3">
      <c r="B42" s="31">
        <v>42439</v>
      </c>
      <c r="C42" s="25" t="s">
        <v>239</v>
      </c>
      <c r="D42" s="23"/>
      <c r="E42" s="23"/>
      <c r="F42" s="23"/>
      <c r="G42" s="23"/>
      <c r="H42" s="23">
        <v>450</v>
      </c>
      <c r="I42" s="23"/>
      <c r="J42" s="24">
        <f t="shared" si="1"/>
        <v>75720.290000000008</v>
      </c>
      <c r="K42" s="24">
        <f t="shared" si="2"/>
        <v>50885.979999999996</v>
      </c>
    </row>
    <row r="43" spans="2:11" ht="15.75" thickBot="1" x14ac:dyDescent="0.3">
      <c r="B43" s="13"/>
      <c r="C43" s="16" t="s">
        <v>0</v>
      </c>
      <c r="D43" s="105">
        <f>SUM(D5:D42)</f>
        <v>39280</v>
      </c>
      <c r="E43" s="103">
        <f>SUM(E5:E42)</f>
        <v>14660</v>
      </c>
      <c r="F43" s="114">
        <f>SUM(D43:E43)</f>
        <v>53940</v>
      </c>
      <c r="G43" s="114">
        <f>SUM(G5:G42)</f>
        <v>0</v>
      </c>
      <c r="H43" s="105">
        <f>SUM(H5:H42)</f>
        <v>19833.099999999999</v>
      </c>
      <c r="I43" s="114">
        <f>SUM(G43:H43)</f>
        <v>19833.099999999999</v>
      </c>
      <c r="J43" s="33"/>
      <c r="K43" s="33"/>
    </row>
    <row r="44" spans="2:11" ht="15.75" thickBot="1" x14ac:dyDescent="0.3">
      <c r="D44" s="1"/>
      <c r="E44" s="1"/>
      <c r="F44" s="1"/>
      <c r="G44" s="1"/>
      <c r="J44" s="1"/>
    </row>
    <row r="45" spans="2:11" x14ac:dyDescent="0.25">
      <c r="B45" s="111" t="s">
        <v>1</v>
      </c>
      <c r="C45" s="111" t="s">
        <v>2</v>
      </c>
      <c r="D45" s="111" t="s">
        <v>3</v>
      </c>
      <c r="E45" s="111" t="s">
        <v>3</v>
      </c>
      <c r="F45" s="111" t="s">
        <v>323</v>
      </c>
      <c r="G45" s="111" t="s">
        <v>5</v>
      </c>
      <c r="H45" s="81" t="s">
        <v>324</v>
      </c>
      <c r="I45" s="81" t="s">
        <v>323</v>
      </c>
      <c r="J45" s="111" t="s">
        <v>174</v>
      </c>
      <c r="K45" s="81" t="s">
        <v>173</v>
      </c>
    </row>
    <row r="46" spans="2:11" ht="15.75" thickBot="1" x14ac:dyDescent="0.3">
      <c r="B46" s="112"/>
      <c r="C46" s="112"/>
      <c r="D46" s="112" t="s">
        <v>6</v>
      </c>
      <c r="E46" s="112" t="s">
        <v>325</v>
      </c>
      <c r="F46" s="112" t="s">
        <v>3</v>
      </c>
      <c r="G46" s="112" t="s">
        <v>325</v>
      </c>
      <c r="H46" s="113" t="s">
        <v>6</v>
      </c>
      <c r="I46" s="113" t="s">
        <v>5</v>
      </c>
      <c r="J46" s="112"/>
      <c r="K46" s="113"/>
    </row>
    <row r="47" spans="2:11" ht="15.75" thickBot="1" x14ac:dyDescent="0.3">
      <c r="B47" s="117"/>
      <c r="C47" s="16" t="s">
        <v>0</v>
      </c>
      <c r="D47" s="105">
        <v>39280</v>
      </c>
      <c r="E47" s="103">
        <v>14660</v>
      </c>
      <c r="F47" s="114">
        <f>SUM(D47:E47)</f>
        <v>53940</v>
      </c>
      <c r="G47" s="114">
        <v>0</v>
      </c>
      <c r="H47" s="105">
        <v>19833.099999999999</v>
      </c>
      <c r="I47" s="114">
        <f>SUM(G47:H47)</f>
        <v>19833.099999999999</v>
      </c>
      <c r="J47" s="33">
        <v>75720.289999999994</v>
      </c>
      <c r="K47" s="33">
        <v>50885.98</v>
      </c>
    </row>
    <row r="48" spans="2:11" x14ac:dyDescent="0.25">
      <c r="B48" s="31">
        <v>42439</v>
      </c>
      <c r="C48" s="25" t="s">
        <v>329</v>
      </c>
      <c r="D48" s="23"/>
      <c r="E48" s="23"/>
      <c r="F48" s="23"/>
      <c r="G48" s="23"/>
      <c r="H48" s="23">
        <v>300</v>
      </c>
      <c r="I48" s="23"/>
      <c r="J48" s="24">
        <f>+J47+E48-G48</f>
        <v>75720.289999999994</v>
      </c>
      <c r="K48" s="24">
        <f>+K47+D48-H48</f>
        <v>50585.98</v>
      </c>
    </row>
    <row r="49" spans="2:11" x14ac:dyDescent="0.25">
      <c r="B49" s="31">
        <v>42439</v>
      </c>
      <c r="C49" s="25" t="s">
        <v>255</v>
      </c>
      <c r="D49" s="23"/>
      <c r="E49" s="23"/>
      <c r="F49" s="23"/>
      <c r="G49" s="23"/>
      <c r="H49" s="23">
        <v>2000</v>
      </c>
      <c r="I49" s="23"/>
      <c r="J49" s="24">
        <f t="shared" ref="J49:J86" si="3">+J48+E49-G49</f>
        <v>75720.289999999994</v>
      </c>
      <c r="K49" s="24">
        <f t="shared" ref="K49:K86" si="4">+K48+D49-H49</f>
        <v>48585.98</v>
      </c>
    </row>
    <row r="50" spans="2:11" x14ac:dyDescent="0.25">
      <c r="B50" s="31">
        <v>42439</v>
      </c>
      <c r="C50" s="25" t="s">
        <v>240</v>
      </c>
      <c r="D50" s="23"/>
      <c r="E50" s="23"/>
      <c r="F50" s="23"/>
      <c r="G50" s="23"/>
      <c r="H50" s="23">
        <v>99.22</v>
      </c>
      <c r="I50" s="23"/>
      <c r="J50" s="24">
        <f t="shared" si="3"/>
        <v>75720.289999999994</v>
      </c>
      <c r="K50" s="24">
        <f t="shared" si="4"/>
        <v>48486.76</v>
      </c>
    </row>
    <row r="51" spans="2:11" x14ac:dyDescent="0.25">
      <c r="B51" s="31">
        <v>42439</v>
      </c>
      <c r="C51" s="25" t="s">
        <v>241</v>
      </c>
      <c r="D51" s="23"/>
      <c r="E51" s="23"/>
      <c r="F51" s="23"/>
      <c r="G51" s="23"/>
      <c r="H51" s="23">
        <v>5</v>
      </c>
      <c r="I51" s="23"/>
      <c r="J51" s="24">
        <f t="shared" si="3"/>
        <v>75720.289999999994</v>
      </c>
      <c r="K51" s="24">
        <f t="shared" si="4"/>
        <v>48481.760000000002</v>
      </c>
    </row>
    <row r="52" spans="2:11" x14ac:dyDescent="0.25">
      <c r="B52" s="31">
        <v>42440</v>
      </c>
      <c r="C52" s="25" t="s">
        <v>303</v>
      </c>
      <c r="D52" s="23"/>
      <c r="E52" s="23"/>
      <c r="F52" s="23"/>
      <c r="G52" s="23"/>
      <c r="H52" s="23"/>
      <c r="I52" s="23"/>
      <c r="J52" s="24">
        <f t="shared" si="3"/>
        <v>75720.289999999994</v>
      </c>
      <c r="K52" s="24">
        <f t="shared" si="4"/>
        <v>48481.760000000002</v>
      </c>
    </row>
    <row r="53" spans="2:11" x14ac:dyDescent="0.25">
      <c r="B53" s="31">
        <v>42440</v>
      </c>
      <c r="C53" s="25" t="s">
        <v>219</v>
      </c>
      <c r="D53" s="23"/>
      <c r="E53" s="23"/>
      <c r="F53" s="23"/>
      <c r="G53" s="23"/>
      <c r="H53" s="23">
        <v>1000</v>
      </c>
      <c r="I53" s="23"/>
      <c r="J53" s="24">
        <f t="shared" si="3"/>
        <v>75720.289999999994</v>
      </c>
      <c r="K53" s="24">
        <f t="shared" si="4"/>
        <v>47481.760000000002</v>
      </c>
    </row>
    <row r="54" spans="2:11" x14ac:dyDescent="0.25">
      <c r="B54" s="31">
        <v>42440</v>
      </c>
      <c r="C54" s="25" t="s">
        <v>242</v>
      </c>
      <c r="D54" s="23"/>
      <c r="E54" s="23"/>
      <c r="F54" s="23"/>
      <c r="G54" s="23"/>
      <c r="H54" s="23">
        <v>80</v>
      </c>
      <c r="I54" s="23"/>
      <c r="J54" s="24">
        <f t="shared" si="3"/>
        <v>75720.289999999994</v>
      </c>
      <c r="K54" s="24">
        <f t="shared" si="4"/>
        <v>47401.760000000002</v>
      </c>
    </row>
    <row r="55" spans="2:11" x14ac:dyDescent="0.25">
      <c r="B55" s="31">
        <v>42440</v>
      </c>
      <c r="C55" s="25" t="s">
        <v>243</v>
      </c>
      <c r="D55" s="23"/>
      <c r="E55" s="23"/>
      <c r="F55" s="23"/>
      <c r="G55" s="23"/>
      <c r="H55" s="23">
        <v>31</v>
      </c>
      <c r="I55" s="23"/>
      <c r="J55" s="24">
        <f t="shared" si="3"/>
        <v>75720.289999999994</v>
      </c>
      <c r="K55" s="24">
        <f t="shared" si="4"/>
        <v>47370.76</v>
      </c>
    </row>
    <row r="56" spans="2:11" x14ac:dyDescent="0.25">
      <c r="B56" s="31">
        <v>42440</v>
      </c>
      <c r="C56" s="25" t="s">
        <v>244</v>
      </c>
      <c r="D56" s="23"/>
      <c r="E56" s="23"/>
      <c r="F56" s="23"/>
      <c r="G56" s="23"/>
      <c r="H56" s="23">
        <v>134</v>
      </c>
      <c r="I56" s="23"/>
      <c r="J56" s="24">
        <f t="shared" si="3"/>
        <v>75720.289999999994</v>
      </c>
      <c r="K56" s="24">
        <f t="shared" si="4"/>
        <v>47236.76</v>
      </c>
    </row>
    <row r="57" spans="2:11" x14ac:dyDescent="0.25">
      <c r="B57" s="31">
        <v>42440</v>
      </c>
      <c r="C57" s="25" t="s">
        <v>227</v>
      </c>
      <c r="D57" s="23"/>
      <c r="E57" s="23"/>
      <c r="F57" s="23"/>
      <c r="G57" s="23"/>
      <c r="H57" s="23">
        <v>263.2</v>
      </c>
      <c r="I57" s="23"/>
      <c r="J57" s="24">
        <f t="shared" si="3"/>
        <v>75720.289999999994</v>
      </c>
      <c r="K57" s="24">
        <f t="shared" si="4"/>
        <v>46973.560000000005</v>
      </c>
    </row>
    <row r="58" spans="2:11" x14ac:dyDescent="0.25">
      <c r="B58" s="31">
        <v>42440</v>
      </c>
      <c r="C58" s="25" t="s">
        <v>245</v>
      </c>
      <c r="D58" s="23"/>
      <c r="E58" s="23"/>
      <c r="F58" s="23"/>
      <c r="G58" s="23"/>
      <c r="H58" s="23">
        <v>1050</v>
      </c>
      <c r="I58" s="23"/>
      <c r="J58" s="24">
        <f t="shared" si="3"/>
        <v>75720.289999999994</v>
      </c>
      <c r="K58" s="24">
        <f t="shared" si="4"/>
        <v>45923.560000000005</v>
      </c>
    </row>
    <row r="59" spans="2:11" x14ac:dyDescent="0.25">
      <c r="B59" s="31">
        <v>42532</v>
      </c>
      <c r="C59" s="25" t="s">
        <v>246</v>
      </c>
      <c r="D59" s="23"/>
      <c r="E59" s="23"/>
      <c r="F59" s="23"/>
      <c r="G59" s="23"/>
      <c r="H59" s="23">
        <v>1000</v>
      </c>
      <c r="I59" s="23"/>
      <c r="J59" s="24">
        <f t="shared" si="3"/>
        <v>75720.289999999994</v>
      </c>
      <c r="K59" s="24">
        <f t="shared" si="4"/>
        <v>44923.560000000005</v>
      </c>
    </row>
    <row r="60" spans="2:11" x14ac:dyDescent="0.25">
      <c r="B60" s="31">
        <v>42532</v>
      </c>
      <c r="C60" s="25" t="s">
        <v>247</v>
      </c>
      <c r="D60" s="23"/>
      <c r="E60" s="23"/>
      <c r="F60" s="23"/>
      <c r="G60" s="23"/>
      <c r="H60" s="23">
        <v>2900</v>
      </c>
      <c r="I60" s="23"/>
      <c r="J60" s="24">
        <f t="shared" si="3"/>
        <v>75720.289999999994</v>
      </c>
      <c r="K60" s="24">
        <f t="shared" si="4"/>
        <v>42023.560000000005</v>
      </c>
    </row>
    <row r="61" spans="2:11" x14ac:dyDescent="0.25">
      <c r="B61" s="31">
        <v>42532</v>
      </c>
      <c r="C61" s="25" t="s">
        <v>248</v>
      </c>
      <c r="D61" s="23"/>
      <c r="E61" s="23"/>
      <c r="F61" s="23"/>
      <c r="G61" s="23"/>
      <c r="H61" s="23">
        <v>600</v>
      </c>
      <c r="I61" s="23"/>
      <c r="J61" s="24">
        <f t="shared" si="3"/>
        <v>75720.289999999994</v>
      </c>
      <c r="K61" s="24">
        <f t="shared" si="4"/>
        <v>41423.560000000005</v>
      </c>
    </row>
    <row r="62" spans="2:11" x14ac:dyDescent="0.25">
      <c r="B62" s="31">
        <v>42441</v>
      </c>
      <c r="C62" s="25" t="s">
        <v>305</v>
      </c>
      <c r="D62" s="23"/>
      <c r="E62" s="23">
        <v>300</v>
      </c>
      <c r="F62" s="23"/>
      <c r="G62" s="23"/>
      <c r="H62" s="23"/>
      <c r="I62" s="23"/>
      <c r="J62" s="24">
        <f t="shared" si="3"/>
        <v>76020.289999999994</v>
      </c>
      <c r="K62" s="24">
        <f t="shared" si="4"/>
        <v>41423.560000000005</v>
      </c>
    </row>
    <row r="63" spans="2:11" x14ac:dyDescent="0.25">
      <c r="B63" s="31">
        <v>42441</v>
      </c>
      <c r="C63" s="25" t="s">
        <v>249</v>
      </c>
      <c r="D63" s="23"/>
      <c r="E63" s="23"/>
      <c r="F63" s="23"/>
      <c r="G63" s="23"/>
      <c r="H63" s="23">
        <v>500</v>
      </c>
      <c r="I63" s="23"/>
      <c r="J63" s="24">
        <f t="shared" si="3"/>
        <v>76020.289999999994</v>
      </c>
      <c r="K63" s="24">
        <f t="shared" si="4"/>
        <v>40923.560000000005</v>
      </c>
    </row>
    <row r="64" spans="2:11" x14ac:dyDescent="0.25">
      <c r="B64" s="31">
        <v>42441</v>
      </c>
      <c r="C64" s="25" t="s">
        <v>249</v>
      </c>
      <c r="D64" s="23"/>
      <c r="E64" s="23"/>
      <c r="F64" s="23"/>
      <c r="G64" s="23"/>
      <c r="H64" s="23">
        <v>500</v>
      </c>
      <c r="I64" s="23"/>
      <c r="J64" s="24">
        <f t="shared" si="3"/>
        <v>76020.289999999994</v>
      </c>
      <c r="K64" s="24">
        <f t="shared" si="4"/>
        <v>40423.560000000005</v>
      </c>
    </row>
    <row r="65" spans="1:11" x14ac:dyDescent="0.25">
      <c r="B65" s="31">
        <v>42441</v>
      </c>
      <c r="C65" s="25" t="s">
        <v>250</v>
      </c>
      <c r="D65" s="23"/>
      <c r="E65" s="23"/>
      <c r="F65" s="23"/>
      <c r="G65" s="23"/>
      <c r="H65" s="23">
        <v>500</v>
      </c>
      <c r="I65" s="23"/>
      <c r="J65" s="24">
        <f t="shared" si="3"/>
        <v>76020.289999999994</v>
      </c>
      <c r="K65" s="24">
        <f t="shared" si="4"/>
        <v>39923.560000000005</v>
      </c>
    </row>
    <row r="66" spans="1:11" x14ac:dyDescent="0.25">
      <c r="B66" s="31">
        <v>42441</v>
      </c>
      <c r="C66" s="25" t="s">
        <v>251</v>
      </c>
      <c r="D66" s="23"/>
      <c r="E66" s="23"/>
      <c r="F66" s="23"/>
      <c r="G66" s="23"/>
      <c r="H66" s="23">
        <v>200</v>
      </c>
      <c r="I66" s="23"/>
      <c r="J66" s="24">
        <f t="shared" si="3"/>
        <v>76020.289999999994</v>
      </c>
      <c r="K66" s="24">
        <f t="shared" si="4"/>
        <v>39723.560000000005</v>
      </c>
    </row>
    <row r="67" spans="1:11" x14ac:dyDescent="0.25">
      <c r="B67" s="31">
        <v>42441</v>
      </c>
      <c r="C67" s="25" t="s">
        <v>252</v>
      </c>
      <c r="D67" s="23"/>
      <c r="E67" s="23"/>
      <c r="F67" s="23"/>
      <c r="G67" s="27"/>
      <c r="H67" s="23">
        <v>800</v>
      </c>
      <c r="I67" s="27"/>
      <c r="J67" s="24">
        <f t="shared" si="3"/>
        <v>76020.289999999994</v>
      </c>
      <c r="K67" s="24">
        <f t="shared" si="4"/>
        <v>38923.560000000005</v>
      </c>
    </row>
    <row r="68" spans="1:11" x14ac:dyDescent="0.25">
      <c r="B68" s="31">
        <v>42441</v>
      </c>
      <c r="C68" s="25" t="s">
        <v>253</v>
      </c>
      <c r="D68" s="23"/>
      <c r="E68" s="23"/>
      <c r="F68" s="23"/>
      <c r="G68" s="23"/>
      <c r="H68" s="23">
        <v>800</v>
      </c>
      <c r="I68" s="27"/>
      <c r="J68" s="24">
        <f t="shared" si="3"/>
        <v>76020.289999999994</v>
      </c>
      <c r="K68" s="24">
        <f t="shared" si="4"/>
        <v>38123.560000000005</v>
      </c>
    </row>
    <row r="69" spans="1:11" x14ac:dyDescent="0.25">
      <c r="B69" s="31">
        <v>42441</v>
      </c>
      <c r="C69" s="25" t="s">
        <v>254</v>
      </c>
      <c r="D69" s="23"/>
      <c r="E69" s="23"/>
      <c r="F69" s="23"/>
      <c r="G69" s="27"/>
      <c r="H69" s="23">
        <v>2300</v>
      </c>
      <c r="I69" s="27"/>
      <c r="J69" s="24">
        <f t="shared" si="3"/>
        <v>76020.289999999994</v>
      </c>
      <c r="K69" s="24">
        <f t="shared" si="4"/>
        <v>35823.560000000005</v>
      </c>
    </row>
    <row r="70" spans="1:11" x14ac:dyDescent="0.25">
      <c r="B70" s="31">
        <v>42441</v>
      </c>
      <c r="C70" s="25" t="s">
        <v>224</v>
      </c>
      <c r="D70" s="23"/>
      <c r="E70" s="23"/>
      <c r="F70" s="23"/>
      <c r="G70" s="27"/>
      <c r="H70" s="23">
        <v>100</v>
      </c>
      <c r="I70" s="27"/>
      <c r="J70" s="24">
        <f t="shared" si="3"/>
        <v>76020.289999999994</v>
      </c>
      <c r="K70" s="24">
        <f t="shared" si="4"/>
        <v>35723.560000000005</v>
      </c>
    </row>
    <row r="71" spans="1:11" x14ac:dyDescent="0.25">
      <c r="B71" s="31">
        <v>42442</v>
      </c>
      <c r="C71" s="25" t="s">
        <v>304</v>
      </c>
      <c r="D71" s="23"/>
      <c r="E71" s="23">
        <v>400</v>
      </c>
      <c r="F71" s="23"/>
      <c r="G71" s="23"/>
      <c r="H71" s="23"/>
      <c r="I71" s="27"/>
      <c r="J71" s="24">
        <f t="shared" si="3"/>
        <v>76420.289999999994</v>
      </c>
      <c r="K71" s="24">
        <f t="shared" si="4"/>
        <v>35723.560000000005</v>
      </c>
    </row>
    <row r="72" spans="1:11" x14ac:dyDescent="0.25">
      <c r="B72" s="36">
        <v>42442</v>
      </c>
      <c r="C72" s="25" t="s">
        <v>256</v>
      </c>
      <c r="D72" s="23"/>
      <c r="E72" s="23"/>
      <c r="F72" s="30"/>
      <c r="G72" s="107"/>
      <c r="H72" s="23">
        <v>79.5</v>
      </c>
      <c r="I72" s="27"/>
      <c r="J72" s="24">
        <f t="shared" si="3"/>
        <v>76420.289999999994</v>
      </c>
      <c r="K72" s="24">
        <f t="shared" si="4"/>
        <v>35644.060000000005</v>
      </c>
    </row>
    <row r="73" spans="1:11" x14ac:dyDescent="0.25">
      <c r="B73" s="31">
        <v>42442</v>
      </c>
      <c r="C73" s="25" t="s">
        <v>231</v>
      </c>
      <c r="D73" s="23"/>
      <c r="E73" s="23"/>
      <c r="F73" s="23"/>
      <c r="G73" s="27"/>
      <c r="H73" s="23">
        <v>115.5</v>
      </c>
      <c r="I73" s="27"/>
      <c r="J73" s="24">
        <f t="shared" si="3"/>
        <v>76420.289999999994</v>
      </c>
      <c r="K73" s="24">
        <f t="shared" si="4"/>
        <v>35528.560000000005</v>
      </c>
    </row>
    <row r="74" spans="1:11" x14ac:dyDescent="0.25">
      <c r="A74" t="s">
        <v>1129</v>
      </c>
      <c r="B74" s="31">
        <v>42442</v>
      </c>
      <c r="C74" s="25" t="s">
        <v>262</v>
      </c>
      <c r="D74" s="23">
        <v>20865</v>
      </c>
      <c r="E74" s="23"/>
      <c r="F74" s="23"/>
      <c r="G74" s="27"/>
      <c r="H74" s="23"/>
      <c r="I74" s="27"/>
      <c r="J74" s="24">
        <f t="shared" si="3"/>
        <v>76420.289999999994</v>
      </c>
      <c r="K74" s="24">
        <f t="shared" si="4"/>
        <v>56393.560000000005</v>
      </c>
    </row>
    <row r="75" spans="1:11" x14ac:dyDescent="0.25">
      <c r="B75" s="31">
        <v>42443</v>
      </c>
      <c r="C75" s="25" t="s">
        <v>257</v>
      </c>
      <c r="D75" s="23"/>
      <c r="E75" s="23"/>
      <c r="F75" s="23"/>
      <c r="G75" s="27"/>
      <c r="H75" s="23">
        <v>128</v>
      </c>
      <c r="I75" s="27"/>
      <c r="J75" s="24">
        <f t="shared" si="3"/>
        <v>76420.289999999994</v>
      </c>
      <c r="K75" s="24">
        <f t="shared" si="4"/>
        <v>56265.560000000005</v>
      </c>
    </row>
    <row r="76" spans="1:11" x14ac:dyDescent="0.25">
      <c r="B76" s="31">
        <v>42443</v>
      </c>
      <c r="C76" s="25" t="s">
        <v>258</v>
      </c>
      <c r="D76" s="23"/>
      <c r="E76" s="23"/>
      <c r="F76" s="23"/>
      <c r="G76" s="27"/>
      <c r="H76" s="23">
        <v>30</v>
      </c>
      <c r="I76" s="27"/>
      <c r="J76" s="24">
        <f t="shared" si="3"/>
        <v>76420.289999999994</v>
      </c>
      <c r="K76" s="24">
        <f t="shared" si="4"/>
        <v>56235.560000000005</v>
      </c>
    </row>
    <row r="77" spans="1:11" x14ac:dyDescent="0.25">
      <c r="B77" s="31">
        <v>42443</v>
      </c>
      <c r="C77" s="25" t="s">
        <v>259</v>
      </c>
      <c r="D77" s="23"/>
      <c r="E77" s="23"/>
      <c r="F77" s="23"/>
      <c r="G77" s="27"/>
      <c r="H77" s="23">
        <v>142</v>
      </c>
      <c r="I77" s="27"/>
      <c r="J77" s="24">
        <f t="shared" si="3"/>
        <v>76420.289999999994</v>
      </c>
      <c r="K77" s="24">
        <f t="shared" si="4"/>
        <v>56093.560000000005</v>
      </c>
    </row>
    <row r="78" spans="1:11" x14ac:dyDescent="0.25">
      <c r="B78" s="31">
        <v>42444</v>
      </c>
      <c r="C78" s="25" t="s">
        <v>260</v>
      </c>
      <c r="D78" s="23"/>
      <c r="E78" s="23"/>
      <c r="F78" s="23"/>
      <c r="G78" s="27"/>
      <c r="H78" s="23">
        <v>450</v>
      </c>
      <c r="I78" s="27"/>
      <c r="J78" s="24">
        <f t="shared" si="3"/>
        <v>76420.289999999994</v>
      </c>
      <c r="K78" s="24">
        <f t="shared" si="4"/>
        <v>55643.560000000005</v>
      </c>
    </row>
    <row r="79" spans="1:11" x14ac:dyDescent="0.25">
      <c r="B79" s="31">
        <v>42444</v>
      </c>
      <c r="C79" s="25" t="s">
        <v>261</v>
      </c>
      <c r="D79" s="23"/>
      <c r="E79" s="23"/>
      <c r="F79" s="23"/>
      <c r="G79" s="27"/>
      <c r="H79" s="23">
        <v>1500</v>
      </c>
      <c r="I79" s="27"/>
      <c r="J79" s="24">
        <f t="shared" si="3"/>
        <v>76420.289999999994</v>
      </c>
      <c r="K79" s="24">
        <f t="shared" si="4"/>
        <v>54143.560000000005</v>
      </c>
    </row>
    <row r="80" spans="1:11" x14ac:dyDescent="0.25">
      <c r="B80" s="31">
        <v>42444</v>
      </c>
      <c r="C80" s="25" t="s">
        <v>158</v>
      </c>
      <c r="D80" s="73"/>
      <c r="E80" s="73"/>
      <c r="F80" s="73"/>
      <c r="G80" s="73"/>
      <c r="H80" s="23">
        <v>2700</v>
      </c>
      <c r="I80" s="23"/>
      <c r="J80" s="24">
        <f t="shared" si="3"/>
        <v>76420.289999999994</v>
      </c>
      <c r="K80" s="24">
        <f t="shared" si="4"/>
        <v>51443.560000000005</v>
      </c>
    </row>
    <row r="81" spans="2:12" x14ac:dyDescent="0.25">
      <c r="B81" s="31">
        <v>42444</v>
      </c>
      <c r="C81" s="25" t="s">
        <v>157</v>
      </c>
      <c r="D81" s="73"/>
      <c r="E81" s="73"/>
      <c r="F81" s="73"/>
      <c r="G81" s="73"/>
      <c r="H81" s="23">
        <v>29000</v>
      </c>
      <c r="I81" s="23"/>
      <c r="J81" s="24">
        <f t="shared" si="3"/>
        <v>76420.289999999994</v>
      </c>
      <c r="K81" s="24">
        <f t="shared" si="4"/>
        <v>22443.560000000005</v>
      </c>
    </row>
    <row r="82" spans="2:12" x14ac:dyDescent="0.25">
      <c r="B82" s="31">
        <v>42444</v>
      </c>
      <c r="C82" s="25" t="s">
        <v>159</v>
      </c>
      <c r="D82" s="73"/>
      <c r="E82" s="73"/>
      <c r="F82" s="73"/>
      <c r="G82" s="73"/>
      <c r="H82" s="23">
        <v>4000</v>
      </c>
      <c r="I82" s="23"/>
      <c r="J82" s="24">
        <f t="shared" si="3"/>
        <v>76420.289999999994</v>
      </c>
      <c r="K82" s="24">
        <f t="shared" si="4"/>
        <v>18443.560000000005</v>
      </c>
      <c r="L82" s="1">
        <f>SUM(H2:H42)</f>
        <v>19833.099999999999</v>
      </c>
    </row>
    <row r="83" spans="2:12" x14ac:dyDescent="0.25">
      <c r="B83" s="31">
        <v>42445</v>
      </c>
      <c r="C83" s="25" t="s">
        <v>292</v>
      </c>
      <c r="D83" s="23"/>
      <c r="E83" s="23"/>
      <c r="F83" s="23"/>
      <c r="G83" s="27"/>
      <c r="H83" s="23">
        <v>500</v>
      </c>
      <c r="I83" s="27"/>
      <c r="J83" s="24">
        <f t="shared" si="3"/>
        <v>76420.289999999994</v>
      </c>
      <c r="K83" s="24">
        <f t="shared" si="4"/>
        <v>17943.560000000005</v>
      </c>
    </row>
    <row r="84" spans="2:12" x14ac:dyDescent="0.25">
      <c r="B84" s="31">
        <v>42445</v>
      </c>
      <c r="C84" s="25" t="s">
        <v>263</v>
      </c>
      <c r="D84" s="23"/>
      <c r="E84" s="23"/>
      <c r="F84" s="23"/>
      <c r="G84" s="27"/>
      <c r="H84" s="23">
        <v>251.5</v>
      </c>
      <c r="I84" s="27"/>
      <c r="J84" s="24">
        <f t="shared" si="3"/>
        <v>76420.289999999994</v>
      </c>
      <c r="K84" s="24">
        <f t="shared" si="4"/>
        <v>17692.060000000005</v>
      </c>
    </row>
    <row r="85" spans="2:12" x14ac:dyDescent="0.25">
      <c r="B85" s="31">
        <v>42445</v>
      </c>
      <c r="C85" s="25" t="s">
        <v>307</v>
      </c>
      <c r="D85" s="23"/>
      <c r="E85" s="23"/>
      <c r="F85" s="23"/>
      <c r="G85" s="27"/>
      <c r="H85" s="23">
        <v>982.9</v>
      </c>
      <c r="I85" s="27"/>
      <c r="J85" s="24">
        <f t="shared" si="3"/>
        <v>76420.289999999994</v>
      </c>
      <c r="K85" s="24">
        <f t="shared" si="4"/>
        <v>16709.160000000003</v>
      </c>
    </row>
    <row r="86" spans="2:12" ht="15.75" thickBot="1" x14ac:dyDescent="0.3">
      <c r="B86" s="31">
        <v>42446</v>
      </c>
      <c r="C86" s="25" t="s">
        <v>264</v>
      </c>
      <c r="D86" s="23"/>
      <c r="E86" s="23"/>
      <c r="F86" s="23"/>
      <c r="G86" s="27"/>
      <c r="H86" s="23">
        <v>1684</v>
      </c>
      <c r="I86" s="27"/>
      <c r="J86" s="24">
        <f t="shared" si="3"/>
        <v>76420.289999999994</v>
      </c>
      <c r="K86" s="24">
        <f t="shared" si="4"/>
        <v>15025.160000000003</v>
      </c>
    </row>
    <row r="87" spans="2:12" ht="15.75" thickBot="1" x14ac:dyDescent="0.3">
      <c r="B87" s="13"/>
      <c r="C87" s="16" t="s">
        <v>0</v>
      </c>
      <c r="D87" s="105">
        <f>SUM(D47:D86)</f>
        <v>60145</v>
      </c>
      <c r="E87" s="103">
        <f>SUM(E47:E86)</f>
        <v>15360</v>
      </c>
      <c r="F87" s="114">
        <f>SUM(D87:E87)</f>
        <v>75505</v>
      </c>
      <c r="G87" s="114">
        <f>SUM(G47:G86)</f>
        <v>0</v>
      </c>
      <c r="H87" s="105">
        <f>SUM(H47:H86)</f>
        <v>76558.92</v>
      </c>
      <c r="I87" s="114">
        <f>SUM(G87:H87)</f>
        <v>76558.92</v>
      </c>
      <c r="J87" s="33"/>
      <c r="K87" s="33"/>
    </row>
    <row r="88" spans="2:12" ht="15.75" thickBot="1" x14ac:dyDescent="0.3">
      <c r="D88" s="1"/>
      <c r="E88" s="1"/>
      <c r="F88" s="1"/>
      <c r="G88" s="1"/>
      <c r="J88" s="1"/>
    </row>
    <row r="89" spans="2:12" x14ac:dyDescent="0.25">
      <c r="B89" s="111" t="s">
        <v>1</v>
      </c>
      <c r="C89" s="111" t="s">
        <v>2</v>
      </c>
      <c r="D89" s="111" t="s">
        <v>3</v>
      </c>
      <c r="E89" s="111" t="s">
        <v>3</v>
      </c>
      <c r="F89" s="111" t="s">
        <v>323</v>
      </c>
      <c r="G89" s="111" t="s">
        <v>5</v>
      </c>
      <c r="H89" s="81" t="s">
        <v>324</v>
      </c>
      <c r="I89" s="81" t="s">
        <v>323</v>
      </c>
      <c r="J89" s="111" t="s">
        <v>174</v>
      </c>
      <c r="K89" s="81" t="s">
        <v>173</v>
      </c>
    </row>
    <row r="90" spans="2:12" ht="15.75" thickBot="1" x14ac:dyDescent="0.3">
      <c r="B90" s="112"/>
      <c r="C90" s="112"/>
      <c r="D90" s="112" t="s">
        <v>6</v>
      </c>
      <c r="E90" s="112" t="s">
        <v>325</v>
      </c>
      <c r="F90" s="112" t="s">
        <v>3</v>
      </c>
      <c r="G90" s="112" t="s">
        <v>325</v>
      </c>
      <c r="H90" s="113" t="s">
        <v>6</v>
      </c>
      <c r="I90" s="113" t="s">
        <v>5</v>
      </c>
      <c r="J90" s="112"/>
      <c r="K90" s="113"/>
    </row>
    <row r="91" spans="2:12" ht="15.75" thickBot="1" x14ac:dyDescent="0.3">
      <c r="B91" s="117"/>
      <c r="C91" s="16" t="s">
        <v>0</v>
      </c>
      <c r="D91" s="105">
        <v>60145</v>
      </c>
      <c r="E91" s="103">
        <v>15360</v>
      </c>
      <c r="F91" s="114">
        <f>SUM(D91:E91)</f>
        <v>75505</v>
      </c>
      <c r="G91" s="114">
        <v>0</v>
      </c>
      <c r="H91" s="105">
        <v>76558.92</v>
      </c>
      <c r="I91" s="114">
        <f>SUM(G91:H91)</f>
        <v>76558.92</v>
      </c>
      <c r="J91" s="33">
        <v>76420.289999999994</v>
      </c>
      <c r="K91" s="33">
        <v>15025.16</v>
      </c>
    </row>
    <row r="92" spans="2:12" x14ac:dyDescent="0.25">
      <c r="B92" s="31">
        <v>42446</v>
      </c>
      <c r="C92" s="25" t="s">
        <v>330</v>
      </c>
      <c r="D92" s="23"/>
      <c r="E92" s="23"/>
      <c r="F92" s="23"/>
      <c r="G92" s="27"/>
      <c r="H92" s="23">
        <v>252</v>
      </c>
      <c r="I92" s="27"/>
      <c r="J92" s="24">
        <f>+J91+E92-G92</f>
        <v>76420.289999999994</v>
      </c>
      <c r="K92" s="24">
        <f>+K91+D92-H92</f>
        <v>14773.16</v>
      </c>
    </row>
    <row r="93" spans="2:12" x14ac:dyDescent="0.25">
      <c r="B93" s="31">
        <v>42446</v>
      </c>
      <c r="C93" s="25" t="s">
        <v>265</v>
      </c>
      <c r="D93" s="23"/>
      <c r="E93" s="23"/>
      <c r="F93" s="23"/>
      <c r="G93" s="27"/>
      <c r="H93" s="23">
        <v>36</v>
      </c>
      <c r="I93" s="27"/>
      <c r="J93" s="24">
        <f t="shared" ref="J93:J131" si="5">+J92+E93-G93</f>
        <v>76420.289999999994</v>
      </c>
      <c r="K93" s="24">
        <f t="shared" ref="K93:K131" si="6">+K92+D93-H93</f>
        <v>14737.16</v>
      </c>
    </row>
    <row r="94" spans="2:12" x14ac:dyDescent="0.25">
      <c r="B94" s="31">
        <v>42446</v>
      </c>
      <c r="C94" s="25" t="s">
        <v>266</v>
      </c>
      <c r="D94" s="23"/>
      <c r="E94" s="23"/>
      <c r="F94" s="23"/>
      <c r="G94" s="27"/>
      <c r="H94" s="23">
        <v>80</v>
      </c>
      <c r="I94" s="27"/>
      <c r="J94" s="24">
        <f t="shared" si="5"/>
        <v>76420.289999999994</v>
      </c>
      <c r="K94" s="24">
        <f t="shared" si="6"/>
        <v>14657.16</v>
      </c>
    </row>
    <row r="95" spans="2:12" x14ac:dyDescent="0.25">
      <c r="B95" s="31">
        <v>42447</v>
      </c>
      <c r="C95" s="25" t="s">
        <v>1130</v>
      </c>
      <c r="D95" s="23"/>
      <c r="E95" s="23">
        <v>400</v>
      </c>
      <c r="F95" s="23"/>
      <c r="G95" s="27"/>
      <c r="H95" s="23"/>
      <c r="I95" s="27"/>
      <c r="J95" s="24">
        <f t="shared" si="5"/>
        <v>76820.289999999994</v>
      </c>
      <c r="K95" s="24">
        <f t="shared" si="6"/>
        <v>14657.16</v>
      </c>
    </row>
    <row r="96" spans="2:12" x14ac:dyDescent="0.25">
      <c r="B96" s="31">
        <v>42447</v>
      </c>
      <c r="C96" s="25" t="s">
        <v>267</v>
      </c>
      <c r="D96" s="23"/>
      <c r="E96" s="23"/>
      <c r="F96" s="23"/>
      <c r="G96" s="27"/>
      <c r="H96" s="23">
        <v>3647.01</v>
      </c>
      <c r="I96" s="27"/>
      <c r="J96" s="24">
        <f t="shared" si="5"/>
        <v>76820.289999999994</v>
      </c>
      <c r="K96" s="24">
        <f t="shared" si="6"/>
        <v>11010.15</v>
      </c>
    </row>
    <row r="97" spans="2:11" x14ac:dyDescent="0.25">
      <c r="B97" s="31">
        <v>42447</v>
      </c>
      <c r="C97" s="25" t="s">
        <v>283</v>
      </c>
      <c r="D97" s="23"/>
      <c r="E97" s="23"/>
      <c r="F97" s="23"/>
      <c r="G97" s="27"/>
      <c r="H97" s="23">
        <v>500</v>
      </c>
      <c r="I97" s="27"/>
      <c r="J97" s="24">
        <f t="shared" si="5"/>
        <v>76820.289999999994</v>
      </c>
      <c r="K97" s="24">
        <f t="shared" si="6"/>
        <v>10510.15</v>
      </c>
    </row>
    <row r="98" spans="2:11" x14ac:dyDescent="0.25">
      <c r="B98" s="31">
        <v>42447</v>
      </c>
      <c r="C98" s="25" t="s">
        <v>284</v>
      </c>
      <c r="D98" s="23"/>
      <c r="E98" s="23"/>
      <c r="F98" s="23"/>
      <c r="G98" s="27"/>
      <c r="H98" s="23">
        <v>76</v>
      </c>
      <c r="I98" s="27"/>
      <c r="J98" s="24">
        <f t="shared" si="5"/>
        <v>76820.289999999994</v>
      </c>
      <c r="K98" s="24">
        <f t="shared" si="6"/>
        <v>10434.15</v>
      </c>
    </row>
    <row r="99" spans="2:11" x14ac:dyDescent="0.25">
      <c r="B99" s="31">
        <v>42447</v>
      </c>
      <c r="C99" s="25" t="s">
        <v>285</v>
      </c>
      <c r="D99" s="23"/>
      <c r="E99" s="23"/>
      <c r="F99" s="23"/>
      <c r="G99" s="27"/>
      <c r="H99" s="23">
        <v>200</v>
      </c>
      <c r="I99" s="27"/>
      <c r="J99" s="24">
        <f t="shared" si="5"/>
        <v>76820.289999999994</v>
      </c>
      <c r="K99" s="24">
        <f t="shared" si="6"/>
        <v>10234.15</v>
      </c>
    </row>
    <row r="100" spans="2:11" x14ac:dyDescent="0.25">
      <c r="B100" s="31">
        <v>42447</v>
      </c>
      <c r="C100" s="25" t="s">
        <v>219</v>
      </c>
      <c r="D100" s="23"/>
      <c r="E100" s="23"/>
      <c r="F100" s="23"/>
      <c r="G100" s="27"/>
      <c r="H100" s="23">
        <v>1000</v>
      </c>
      <c r="I100" s="27"/>
      <c r="J100" s="24">
        <f t="shared" si="5"/>
        <v>76820.289999999994</v>
      </c>
      <c r="K100" s="24">
        <f t="shared" si="6"/>
        <v>9234.15</v>
      </c>
    </row>
    <row r="101" spans="2:11" x14ac:dyDescent="0.25">
      <c r="B101" s="31">
        <v>42448</v>
      </c>
      <c r="C101" s="25" t="s">
        <v>286</v>
      </c>
      <c r="D101" s="23"/>
      <c r="E101" s="23"/>
      <c r="F101" s="23"/>
      <c r="G101" s="27"/>
      <c r="H101" s="23">
        <v>197.4</v>
      </c>
      <c r="I101" s="27"/>
      <c r="J101" s="24">
        <f t="shared" si="5"/>
        <v>76820.289999999994</v>
      </c>
      <c r="K101" s="24">
        <f t="shared" si="6"/>
        <v>9036.75</v>
      </c>
    </row>
    <row r="102" spans="2:11" x14ac:dyDescent="0.25">
      <c r="B102" s="31">
        <v>42449</v>
      </c>
      <c r="C102" s="25" t="s">
        <v>231</v>
      </c>
      <c r="D102" s="23"/>
      <c r="E102" s="23"/>
      <c r="F102" s="23"/>
      <c r="G102" s="27"/>
      <c r="H102" s="23">
        <v>80.5</v>
      </c>
      <c r="I102" s="27"/>
      <c r="J102" s="24">
        <f t="shared" si="5"/>
        <v>76820.289999999994</v>
      </c>
      <c r="K102" s="24">
        <f t="shared" si="6"/>
        <v>8956.25</v>
      </c>
    </row>
    <row r="103" spans="2:11" x14ac:dyDescent="0.25">
      <c r="B103" s="31">
        <v>42449</v>
      </c>
      <c r="C103" s="25" t="s">
        <v>224</v>
      </c>
      <c r="D103" s="23"/>
      <c r="E103" s="23"/>
      <c r="F103" s="23"/>
      <c r="G103" s="27"/>
      <c r="H103" s="23">
        <v>100</v>
      </c>
      <c r="I103" s="27"/>
      <c r="J103" s="24">
        <f t="shared" si="5"/>
        <v>76820.289999999994</v>
      </c>
      <c r="K103" s="24">
        <f t="shared" si="6"/>
        <v>8856.25</v>
      </c>
    </row>
    <row r="104" spans="2:11" x14ac:dyDescent="0.25">
      <c r="B104" s="31">
        <v>42450</v>
      </c>
      <c r="C104" s="25" t="s">
        <v>300</v>
      </c>
      <c r="D104" s="23">
        <v>6950</v>
      </c>
      <c r="E104" s="23"/>
      <c r="F104" s="23"/>
      <c r="G104" s="27"/>
      <c r="H104" s="23"/>
      <c r="I104" s="27"/>
      <c r="J104" s="24">
        <f t="shared" si="5"/>
        <v>76820.289999999994</v>
      </c>
      <c r="K104" s="24">
        <f t="shared" si="6"/>
        <v>15806.25</v>
      </c>
    </row>
    <row r="105" spans="2:11" x14ac:dyDescent="0.25">
      <c r="B105" s="31">
        <v>42450</v>
      </c>
      <c r="C105" s="25" t="s">
        <v>1128</v>
      </c>
      <c r="D105" s="23"/>
      <c r="E105" s="23">
        <v>800</v>
      </c>
      <c r="F105" s="23"/>
      <c r="G105" s="27"/>
      <c r="H105" s="23"/>
      <c r="I105" s="27"/>
      <c r="J105" s="24">
        <f t="shared" si="5"/>
        <v>77620.289999999994</v>
      </c>
      <c r="K105" s="24">
        <f t="shared" si="6"/>
        <v>15806.25</v>
      </c>
    </row>
    <row r="106" spans="2:11" x14ac:dyDescent="0.25">
      <c r="B106" s="31">
        <v>42450</v>
      </c>
      <c r="C106" s="25" t="s">
        <v>287</v>
      </c>
      <c r="D106" s="23"/>
      <c r="E106" s="23"/>
      <c r="F106" s="23"/>
      <c r="G106" s="27"/>
      <c r="H106" s="23">
        <v>175</v>
      </c>
      <c r="I106" s="27"/>
      <c r="J106" s="24">
        <f t="shared" si="5"/>
        <v>77620.289999999994</v>
      </c>
      <c r="K106" s="24">
        <f t="shared" si="6"/>
        <v>15631.25</v>
      </c>
    </row>
    <row r="107" spans="2:11" x14ac:dyDescent="0.25">
      <c r="B107" s="31">
        <v>42450</v>
      </c>
      <c r="C107" s="25" t="s">
        <v>288</v>
      </c>
      <c r="D107" s="23"/>
      <c r="E107" s="23"/>
      <c r="F107" s="23"/>
      <c r="G107" s="27"/>
      <c r="H107" s="23">
        <v>299.8</v>
      </c>
      <c r="I107" s="27"/>
      <c r="J107" s="24">
        <f t="shared" si="5"/>
        <v>77620.289999999994</v>
      </c>
      <c r="K107" s="24">
        <f t="shared" si="6"/>
        <v>15331.45</v>
      </c>
    </row>
    <row r="108" spans="2:11" x14ac:dyDescent="0.25">
      <c r="B108" s="31">
        <v>42450</v>
      </c>
      <c r="C108" s="25" t="s">
        <v>327</v>
      </c>
      <c r="D108" s="23"/>
      <c r="E108" s="23"/>
      <c r="F108" s="23"/>
      <c r="G108" s="27"/>
      <c r="H108" s="23">
        <v>1600</v>
      </c>
      <c r="I108" s="27"/>
      <c r="J108" s="24">
        <f t="shared" si="5"/>
        <v>77620.289999999994</v>
      </c>
      <c r="K108" s="24">
        <f t="shared" si="6"/>
        <v>13731.45</v>
      </c>
    </row>
    <row r="109" spans="2:11" x14ac:dyDescent="0.25">
      <c r="B109" s="31">
        <v>42451</v>
      </c>
      <c r="C109" s="25" t="s">
        <v>289</v>
      </c>
      <c r="D109" s="23"/>
      <c r="E109" s="23"/>
      <c r="F109" s="23"/>
      <c r="G109" s="27"/>
      <c r="H109" s="23">
        <v>400</v>
      </c>
      <c r="I109" s="27"/>
      <c r="J109" s="24">
        <f t="shared" si="5"/>
        <v>77620.289999999994</v>
      </c>
      <c r="K109" s="24">
        <f t="shared" si="6"/>
        <v>13331.45</v>
      </c>
    </row>
    <row r="110" spans="2:11" x14ac:dyDescent="0.25">
      <c r="B110" s="31">
        <v>42452</v>
      </c>
      <c r="C110" s="25" t="s">
        <v>290</v>
      </c>
      <c r="D110" s="23"/>
      <c r="E110" s="23"/>
      <c r="F110" s="23"/>
      <c r="G110" s="27"/>
      <c r="H110" s="23">
        <v>600</v>
      </c>
      <c r="I110" s="27"/>
      <c r="J110" s="24">
        <f t="shared" si="5"/>
        <v>77620.289999999994</v>
      </c>
      <c r="K110" s="24">
        <f t="shared" si="6"/>
        <v>12731.45</v>
      </c>
    </row>
    <row r="111" spans="2:11" x14ac:dyDescent="0.25">
      <c r="B111" s="31">
        <v>42452</v>
      </c>
      <c r="C111" s="25" t="s">
        <v>291</v>
      </c>
      <c r="D111" s="23"/>
      <c r="E111" s="23"/>
      <c r="F111" s="23"/>
      <c r="G111" s="27"/>
      <c r="H111" s="23">
        <v>160</v>
      </c>
      <c r="I111" s="27"/>
      <c r="J111" s="24">
        <f t="shared" si="5"/>
        <v>77620.289999999994</v>
      </c>
      <c r="K111" s="24">
        <f t="shared" si="6"/>
        <v>12571.45</v>
      </c>
    </row>
    <row r="112" spans="2:11" x14ac:dyDescent="0.25">
      <c r="B112" s="31">
        <v>42452</v>
      </c>
      <c r="C112" s="25" t="s">
        <v>293</v>
      </c>
      <c r="D112" s="23"/>
      <c r="E112" s="23"/>
      <c r="F112" s="23"/>
      <c r="G112" s="27"/>
      <c r="H112" s="23">
        <v>1000</v>
      </c>
      <c r="I112" s="27"/>
      <c r="J112" s="24">
        <f t="shared" si="5"/>
        <v>77620.289999999994</v>
      </c>
      <c r="K112" s="24">
        <f t="shared" si="6"/>
        <v>11571.45</v>
      </c>
    </row>
    <row r="113" spans="2:14" x14ac:dyDescent="0.25">
      <c r="B113" s="31">
        <v>42452</v>
      </c>
      <c r="C113" s="25" t="s">
        <v>298</v>
      </c>
      <c r="D113" s="23"/>
      <c r="E113" s="23"/>
      <c r="F113" s="23"/>
      <c r="G113" s="27"/>
      <c r="H113" s="23">
        <v>150</v>
      </c>
      <c r="I113" s="27"/>
      <c r="J113" s="24">
        <f t="shared" si="5"/>
        <v>77620.289999999994</v>
      </c>
      <c r="K113" s="24">
        <f t="shared" si="6"/>
        <v>11421.45</v>
      </c>
    </row>
    <row r="114" spans="2:14" x14ac:dyDescent="0.25">
      <c r="B114" s="31">
        <v>42453</v>
      </c>
      <c r="C114" s="25" t="s">
        <v>294</v>
      </c>
      <c r="D114" s="23"/>
      <c r="E114" s="23"/>
      <c r="F114" s="23"/>
      <c r="G114" s="27"/>
      <c r="H114" s="23">
        <v>1500</v>
      </c>
      <c r="I114" s="27"/>
      <c r="J114" s="24">
        <f t="shared" si="5"/>
        <v>77620.289999999994</v>
      </c>
      <c r="K114" s="24">
        <f t="shared" si="6"/>
        <v>9921.4500000000007</v>
      </c>
    </row>
    <row r="115" spans="2:14" x14ac:dyDescent="0.25">
      <c r="B115" s="31">
        <v>42453</v>
      </c>
      <c r="C115" s="25" t="s">
        <v>295</v>
      </c>
      <c r="D115" s="23"/>
      <c r="E115" s="23"/>
      <c r="F115" s="23"/>
      <c r="G115" s="27"/>
      <c r="H115" s="23">
        <v>192</v>
      </c>
      <c r="I115" s="27"/>
      <c r="J115" s="24">
        <f t="shared" si="5"/>
        <v>77620.289999999994</v>
      </c>
      <c r="K115" s="24">
        <f t="shared" si="6"/>
        <v>9729.4500000000007</v>
      </c>
    </row>
    <row r="116" spans="2:14" x14ac:dyDescent="0.25">
      <c r="B116" s="31">
        <v>42453</v>
      </c>
      <c r="C116" s="25" t="s">
        <v>296</v>
      </c>
      <c r="D116" s="23"/>
      <c r="E116" s="23"/>
      <c r="F116" s="23"/>
      <c r="G116" s="27"/>
      <c r="H116" s="23">
        <v>400</v>
      </c>
      <c r="I116" s="27"/>
      <c r="J116" s="24">
        <f t="shared" si="5"/>
        <v>77620.289999999994</v>
      </c>
      <c r="K116" s="24">
        <f t="shared" si="6"/>
        <v>9329.4500000000007</v>
      </c>
    </row>
    <row r="117" spans="2:14" x14ac:dyDescent="0.25">
      <c r="B117" s="31">
        <v>42453</v>
      </c>
      <c r="C117" s="25" t="s">
        <v>297</v>
      </c>
      <c r="D117" s="23"/>
      <c r="E117" s="23"/>
      <c r="F117" s="23"/>
      <c r="G117" s="27"/>
      <c r="H117" s="23">
        <v>197.4</v>
      </c>
      <c r="I117" s="27"/>
      <c r="J117" s="24">
        <f t="shared" si="5"/>
        <v>77620.289999999994</v>
      </c>
      <c r="K117" s="24">
        <f t="shared" si="6"/>
        <v>9132.0500000000011</v>
      </c>
    </row>
    <row r="118" spans="2:14" x14ac:dyDescent="0.25">
      <c r="B118" s="31">
        <v>42454</v>
      </c>
      <c r="C118" s="25" t="s">
        <v>219</v>
      </c>
      <c r="D118" s="23"/>
      <c r="E118" s="23"/>
      <c r="F118" s="23"/>
      <c r="G118" s="27"/>
      <c r="H118" s="23">
        <v>1000</v>
      </c>
      <c r="I118" s="27"/>
      <c r="J118" s="24">
        <f t="shared" si="5"/>
        <v>77620.289999999994</v>
      </c>
      <c r="K118" s="24">
        <f t="shared" si="6"/>
        <v>8132.0500000000011</v>
      </c>
    </row>
    <row r="119" spans="2:14" x14ac:dyDescent="0.25">
      <c r="B119" s="31">
        <v>42456</v>
      </c>
      <c r="C119" s="25" t="s">
        <v>306</v>
      </c>
      <c r="D119" s="23">
        <v>6000</v>
      </c>
      <c r="E119" s="23"/>
      <c r="F119" s="23"/>
      <c r="G119" s="27"/>
      <c r="H119" s="23"/>
      <c r="I119" s="27"/>
      <c r="J119" s="24">
        <f t="shared" si="5"/>
        <v>77620.289999999994</v>
      </c>
      <c r="K119" s="24">
        <f t="shared" si="6"/>
        <v>14132.050000000001</v>
      </c>
    </row>
    <row r="120" spans="2:14" x14ac:dyDescent="0.25">
      <c r="B120" s="31">
        <v>42456</v>
      </c>
      <c r="C120" s="25" t="s">
        <v>299</v>
      </c>
      <c r="D120" s="23"/>
      <c r="E120" s="23"/>
      <c r="F120" s="23"/>
      <c r="G120" s="27"/>
      <c r="H120" s="23">
        <v>500</v>
      </c>
      <c r="I120" s="27"/>
      <c r="J120" s="24">
        <f t="shared" si="5"/>
        <v>77620.289999999994</v>
      </c>
      <c r="K120" s="24">
        <f t="shared" si="6"/>
        <v>13632.050000000001</v>
      </c>
    </row>
    <row r="121" spans="2:14" x14ac:dyDescent="0.25">
      <c r="B121" s="31">
        <v>42456</v>
      </c>
      <c r="C121" s="25" t="s">
        <v>308</v>
      </c>
      <c r="D121" s="23"/>
      <c r="E121" s="23"/>
      <c r="F121" s="23"/>
      <c r="G121" s="27"/>
      <c r="H121" s="23">
        <v>24</v>
      </c>
      <c r="I121" s="27"/>
      <c r="J121" s="24">
        <f t="shared" si="5"/>
        <v>77620.289999999994</v>
      </c>
      <c r="K121" s="24">
        <f t="shared" si="6"/>
        <v>13608.050000000001</v>
      </c>
    </row>
    <row r="122" spans="2:14" x14ac:dyDescent="0.25">
      <c r="B122" s="31">
        <v>42456</v>
      </c>
      <c r="C122" s="25" t="s">
        <v>231</v>
      </c>
      <c r="D122" s="23"/>
      <c r="E122" s="23"/>
      <c r="F122" s="23"/>
      <c r="G122" s="27"/>
      <c r="H122" s="23">
        <v>54.5</v>
      </c>
      <c r="I122" s="27"/>
      <c r="J122" s="24">
        <f t="shared" si="5"/>
        <v>77620.289999999994</v>
      </c>
      <c r="K122" s="24">
        <f t="shared" si="6"/>
        <v>13553.550000000001</v>
      </c>
    </row>
    <row r="123" spans="2:14" x14ac:dyDescent="0.25">
      <c r="B123" s="31">
        <v>42456</v>
      </c>
      <c r="C123" s="25" t="s">
        <v>224</v>
      </c>
      <c r="D123" s="23"/>
      <c r="E123" s="23"/>
      <c r="F123" s="23"/>
      <c r="G123" s="27"/>
      <c r="H123" s="23">
        <v>100</v>
      </c>
      <c r="I123" s="27"/>
      <c r="J123" s="24">
        <f t="shared" si="5"/>
        <v>77620.289999999994</v>
      </c>
      <c r="K123" s="24">
        <f t="shared" si="6"/>
        <v>13453.550000000001</v>
      </c>
    </row>
    <row r="124" spans="2:14" x14ac:dyDescent="0.25">
      <c r="B124" s="31">
        <v>42457</v>
      </c>
      <c r="C124" s="25" t="s">
        <v>237</v>
      </c>
      <c r="D124" s="23"/>
      <c r="E124" s="23"/>
      <c r="F124" s="23"/>
      <c r="G124" s="27"/>
      <c r="H124" s="23">
        <v>110</v>
      </c>
      <c r="I124" s="27"/>
      <c r="J124" s="24">
        <f t="shared" si="5"/>
        <v>77620.289999999994</v>
      </c>
      <c r="K124" s="24">
        <f t="shared" si="6"/>
        <v>13343.550000000001</v>
      </c>
    </row>
    <row r="125" spans="2:14" x14ac:dyDescent="0.25">
      <c r="B125" s="31">
        <v>42458</v>
      </c>
      <c r="C125" s="25" t="s">
        <v>309</v>
      </c>
      <c r="D125" s="23"/>
      <c r="E125" s="23"/>
      <c r="F125" s="23"/>
      <c r="G125" s="27"/>
      <c r="H125" s="23">
        <v>500</v>
      </c>
      <c r="I125" s="27"/>
      <c r="J125" s="24">
        <f t="shared" si="5"/>
        <v>77620.289999999994</v>
      </c>
      <c r="K125" s="24">
        <f t="shared" si="6"/>
        <v>12843.550000000001</v>
      </c>
    </row>
    <row r="126" spans="2:14" x14ac:dyDescent="0.25">
      <c r="B126" s="31">
        <v>42459</v>
      </c>
      <c r="C126" s="25" t="s">
        <v>310</v>
      </c>
      <c r="D126" s="23"/>
      <c r="E126" s="23"/>
      <c r="F126" s="23"/>
      <c r="G126" s="27"/>
      <c r="H126" s="23">
        <v>750</v>
      </c>
      <c r="I126" s="27"/>
      <c r="J126" s="24">
        <f t="shared" si="5"/>
        <v>77620.289999999994</v>
      </c>
      <c r="K126" s="24">
        <f t="shared" si="6"/>
        <v>12093.550000000001</v>
      </c>
    </row>
    <row r="127" spans="2:14" x14ac:dyDescent="0.25">
      <c r="B127" s="31">
        <v>42459</v>
      </c>
      <c r="C127" s="25" t="s">
        <v>311</v>
      </c>
      <c r="D127" s="23"/>
      <c r="E127" s="23"/>
      <c r="F127" s="23"/>
      <c r="G127" s="23">
        <v>2800</v>
      </c>
      <c r="H127" s="23"/>
      <c r="I127" s="27"/>
      <c r="J127" s="24">
        <f t="shared" si="5"/>
        <v>74820.289999999994</v>
      </c>
      <c r="K127" s="24">
        <f t="shared" si="6"/>
        <v>12093.550000000001</v>
      </c>
      <c r="M127">
        <v>2800</v>
      </c>
    </row>
    <row r="128" spans="2:14" x14ac:dyDescent="0.25">
      <c r="B128" s="31">
        <v>42460</v>
      </c>
      <c r="C128" s="25" t="s">
        <v>312</v>
      </c>
      <c r="D128" s="23"/>
      <c r="E128" s="23"/>
      <c r="F128" s="23"/>
      <c r="G128" s="23"/>
      <c r="H128" s="23">
        <v>400</v>
      </c>
      <c r="I128" s="27"/>
      <c r="J128" s="24">
        <f t="shared" si="5"/>
        <v>74820.289999999994</v>
      </c>
      <c r="K128" s="24">
        <f t="shared" si="6"/>
        <v>11693.550000000001</v>
      </c>
      <c r="N128" s="1">
        <f>SUM(L127:M127)</f>
        <v>2800</v>
      </c>
    </row>
    <row r="129" spans="2:11" x14ac:dyDescent="0.25">
      <c r="B129" s="31">
        <v>42460</v>
      </c>
      <c r="C129" s="25" t="s">
        <v>313</v>
      </c>
      <c r="D129" s="23"/>
      <c r="E129" s="23"/>
      <c r="F129" s="23"/>
      <c r="G129" s="23"/>
      <c r="H129" s="23">
        <v>450</v>
      </c>
      <c r="I129" s="27"/>
      <c r="J129" s="24">
        <f t="shared" si="5"/>
        <v>74820.289999999994</v>
      </c>
      <c r="K129" s="24">
        <f t="shared" si="6"/>
        <v>11243.550000000001</v>
      </c>
    </row>
    <row r="130" spans="2:11" x14ac:dyDescent="0.25">
      <c r="B130" s="31">
        <v>42460</v>
      </c>
      <c r="C130" s="25" t="s">
        <v>203</v>
      </c>
      <c r="D130" s="23"/>
      <c r="E130" s="23"/>
      <c r="F130" s="23"/>
      <c r="G130" s="23"/>
      <c r="H130" s="23">
        <v>650</v>
      </c>
      <c r="I130" s="27"/>
      <c r="J130" s="24">
        <f t="shared" si="5"/>
        <v>74820.289999999994</v>
      </c>
      <c r="K130" s="24">
        <f t="shared" si="6"/>
        <v>10593.550000000001</v>
      </c>
    </row>
    <row r="131" spans="2:11" ht="15.75" thickBot="1" x14ac:dyDescent="0.3">
      <c r="B131" s="31">
        <v>42460</v>
      </c>
      <c r="C131" s="25" t="s">
        <v>314</v>
      </c>
      <c r="D131" s="23"/>
      <c r="E131" s="23"/>
      <c r="F131" s="23"/>
      <c r="G131" s="23"/>
      <c r="H131" s="23">
        <v>500</v>
      </c>
      <c r="I131" s="27"/>
      <c r="J131" s="24">
        <f t="shared" si="5"/>
        <v>74820.289999999994</v>
      </c>
      <c r="K131" s="24">
        <f t="shared" si="6"/>
        <v>10093.550000000001</v>
      </c>
    </row>
    <row r="132" spans="2:11" ht="15.75" thickBot="1" x14ac:dyDescent="0.3">
      <c r="B132" s="13"/>
      <c r="C132" s="16" t="s">
        <v>0</v>
      </c>
      <c r="D132" s="105">
        <f>SUM(D91:D131)</f>
        <v>73095</v>
      </c>
      <c r="E132" s="103">
        <f>SUM(E91:E131)</f>
        <v>16560</v>
      </c>
      <c r="F132" s="114">
        <f>SUM(D132:E132)</f>
        <v>89655</v>
      </c>
      <c r="G132" s="114">
        <f>SUM(G91:G131)</f>
        <v>2800</v>
      </c>
      <c r="H132" s="105">
        <f>SUM(H91:H131)</f>
        <v>94440.529999999984</v>
      </c>
      <c r="I132" s="114">
        <f>SUM(G132+H132)</f>
        <v>97240.529999999984</v>
      </c>
      <c r="J132" s="105"/>
      <c r="K132" s="33"/>
    </row>
    <row r="133" spans="2:11" ht="15.75" thickBot="1" x14ac:dyDescent="0.3"/>
    <row r="134" spans="2:11" x14ac:dyDescent="0.25">
      <c r="B134" s="111" t="s">
        <v>1</v>
      </c>
      <c r="C134" s="111" t="s">
        <v>2</v>
      </c>
      <c r="D134" s="111" t="s">
        <v>3</v>
      </c>
      <c r="E134" s="111" t="s">
        <v>3</v>
      </c>
      <c r="F134" s="111" t="s">
        <v>323</v>
      </c>
      <c r="G134" s="111" t="s">
        <v>5</v>
      </c>
      <c r="H134" s="81" t="s">
        <v>324</v>
      </c>
      <c r="I134" s="81" t="s">
        <v>323</v>
      </c>
      <c r="J134" s="111" t="s">
        <v>174</v>
      </c>
      <c r="K134" s="81" t="s">
        <v>173</v>
      </c>
    </row>
    <row r="135" spans="2:11" ht="15.75" thickBot="1" x14ac:dyDescent="0.3">
      <c r="B135" s="112"/>
      <c r="C135" s="112"/>
      <c r="D135" s="112" t="s">
        <v>6</v>
      </c>
      <c r="E135" s="112" t="s">
        <v>325</v>
      </c>
      <c r="F135" s="112" t="s">
        <v>3</v>
      </c>
      <c r="G135" s="112" t="s">
        <v>325</v>
      </c>
      <c r="H135" s="113" t="s">
        <v>6</v>
      </c>
      <c r="I135" s="113" t="s">
        <v>5</v>
      </c>
      <c r="J135" s="112"/>
      <c r="K135" s="113"/>
    </row>
    <row r="136" spans="2:11" ht="15.75" thickBot="1" x14ac:dyDescent="0.3">
      <c r="B136" s="117"/>
      <c r="C136" s="16" t="s">
        <v>0</v>
      </c>
      <c r="D136" s="105">
        <v>73095</v>
      </c>
      <c r="E136" s="103">
        <v>16560</v>
      </c>
      <c r="F136" s="114">
        <v>89255</v>
      </c>
      <c r="G136" s="114">
        <v>2800</v>
      </c>
      <c r="H136" s="105">
        <v>94440.53</v>
      </c>
      <c r="I136" s="114">
        <f>SUM(G136:H136)</f>
        <v>97240.53</v>
      </c>
      <c r="J136" s="33">
        <v>74820.289999999994</v>
      </c>
      <c r="K136" s="33">
        <v>10093.549999999999</v>
      </c>
    </row>
    <row r="137" spans="2:11" x14ac:dyDescent="0.25">
      <c r="B137" s="31">
        <v>42460</v>
      </c>
      <c r="C137" s="25" t="s">
        <v>315</v>
      </c>
      <c r="D137" s="23"/>
      <c r="E137" s="23"/>
      <c r="F137" s="23"/>
      <c r="G137" s="23"/>
      <c r="H137" s="23">
        <v>1000</v>
      </c>
      <c r="I137" s="27"/>
      <c r="J137" s="24">
        <f>+J136+E137-G137</f>
        <v>74820.289999999994</v>
      </c>
      <c r="K137" s="24">
        <f>+K136+D137-H137</f>
        <v>9093.5499999999993</v>
      </c>
    </row>
    <row r="138" spans="2:11" x14ac:dyDescent="0.25">
      <c r="B138" s="31">
        <v>42460</v>
      </c>
      <c r="C138" s="25" t="s">
        <v>316</v>
      </c>
      <c r="D138" s="23"/>
      <c r="E138" s="23"/>
      <c r="F138" s="23"/>
      <c r="G138" s="23"/>
      <c r="H138" s="23">
        <v>350</v>
      </c>
      <c r="I138" s="27"/>
      <c r="J138" s="24">
        <f t="shared" ref="J138:J148" si="7">+J137+E138-G138</f>
        <v>74820.289999999994</v>
      </c>
      <c r="K138" s="24">
        <f t="shared" ref="K138:K148" si="8">+K137+D138-H138</f>
        <v>8743.5499999999993</v>
      </c>
    </row>
    <row r="139" spans="2:11" x14ac:dyDescent="0.25">
      <c r="B139" s="31">
        <v>42460</v>
      </c>
      <c r="C139" s="25" t="s">
        <v>317</v>
      </c>
      <c r="D139" s="23"/>
      <c r="E139" s="23"/>
      <c r="F139" s="23"/>
      <c r="G139" s="23"/>
      <c r="H139" s="23">
        <v>100</v>
      </c>
      <c r="I139" s="27"/>
      <c r="J139" s="24">
        <f t="shared" si="7"/>
        <v>74820.289999999994</v>
      </c>
      <c r="K139" s="24">
        <f t="shared" si="8"/>
        <v>8643.5499999999993</v>
      </c>
    </row>
    <row r="140" spans="2:11" x14ac:dyDescent="0.25">
      <c r="B140" s="31">
        <v>42460</v>
      </c>
      <c r="C140" s="25" t="s">
        <v>319</v>
      </c>
      <c r="D140" s="73"/>
      <c r="E140" s="73"/>
      <c r="F140" s="73"/>
      <c r="G140" s="73"/>
      <c r="H140" s="23">
        <v>2700</v>
      </c>
      <c r="I140" s="23"/>
      <c r="J140" s="24">
        <f t="shared" si="7"/>
        <v>74820.289999999994</v>
      </c>
      <c r="K140" s="24">
        <f t="shared" si="8"/>
        <v>5943.5499999999993</v>
      </c>
    </row>
    <row r="141" spans="2:11" x14ac:dyDescent="0.25">
      <c r="B141" s="31">
        <v>42460</v>
      </c>
      <c r="C141" s="25" t="s">
        <v>318</v>
      </c>
      <c r="D141" s="73"/>
      <c r="E141" s="73"/>
      <c r="F141" s="73"/>
      <c r="G141" s="28"/>
      <c r="H141" s="23"/>
      <c r="I141" s="23"/>
      <c r="J141" s="24">
        <f t="shared" si="7"/>
        <v>74820.289999999994</v>
      </c>
      <c r="K141" s="24">
        <f t="shared" si="8"/>
        <v>5943.5499999999993</v>
      </c>
    </row>
    <row r="142" spans="2:11" x14ac:dyDescent="0.25">
      <c r="B142" s="31">
        <v>42460</v>
      </c>
      <c r="C142" s="25" t="s">
        <v>320</v>
      </c>
      <c r="D142" s="73"/>
      <c r="E142" s="73"/>
      <c r="F142" s="73"/>
      <c r="G142" s="73"/>
      <c r="H142" s="23">
        <v>4000</v>
      </c>
      <c r="I142" s="23"/>
      <c r="J142" s="24">
        <f t="shared" si="7"/>
        <v>74820.289999999994</v>
      </c>
      <c r="K142" s="24">
        <f t="shared" si="8"/>
        <v>1943.5499999999993</v>
      </c>
    </row>
    <row r="143" spans="2:11" x14ac:dyDescent="0.25">
      <c r="B143" s="31">
        <v>42438</v>
      </c>
      <c r="C143" s="25" t="s">
        <v>361</v>
      </c>
      <c r="D143" s="73"/>
      <c r="E143" s="73">
        <v>0.36</v>
      </c>
      <c r="F143" s="73"/>
      <c r="G143" s="73"/>
      <c r="H143" s="23"/>
      <c r="I143" s="27"/>
      <c r="J143" s="24">
        <f t="shared" si="7"/>
        <v>74820.649999999994</v>
      </c>
      <c r="K143" s="24">
        <f t="shared" si="8"/>
        <v>1943.5499999999993</v>
      </c>
    </row>
    <row r="144" spans="2:11" x14ac:dyDescent="0.25">
      <c r="B144" s="31">
        <v>42441</v>
      </c>
      <c r="C144" s="25" t="s">
        <v>361</v>
      </c>
      <c r="D144" s="73"/>
      <c r="E144" s="73">
        <v>0.46</v>
      </c>
      <c r="F144" s="73"/>
      <c r="G144" s="73"/>
      <c r="H144" s="23"/>
      <c r="I144" s="27"/>
      <c r="J144" s="24">
        <f t="shared" si="7"/>
        <v>74821.11</v>
      </c>
      <c r="K144" s="24">
        <f t="shared" si="8"/>
        <v>1943.5499999999993</v>
      </c>
    </row>
    <row r="145" spans="2:11" x14ac:dyDescent="0.25">
      <c r="B145" s="31">
        <v>42442</v>
      </c>
      <c r="C145" s="25" t="s">
        <v>362</v>
      </c>
      <c r="D145" s="73"/>
      <c r="E145" s="73">
        <v>0.28999999999999998</v>
      </c>
      <c r="F145" s="73"/>
      <c r="G145" s="73"/>
      <c r="H145" s="23"/>
      <c r="I145" s="27"/>
      <c r="J145" s="24">
        <f t="shared" si="7"/>
        <v>74821.399999999994</v>
      </c>
      <c r="K145" s="24">
        <f t="shared" si="8"/>
        <v>1943.5499999999993</v>
      </c>
    </row>
    <row r="146" spans="2:11" x14ac:dyDescent="0.25">
      <c r="B146" s="31">
        <v>42460</v>
      </c>
      <c r="C146" s="25" t="s">
        <v>322</v>
      </c>
      <c r="D146" s="23"/>
      <c r="E146" s="23"/>
      <c r="F146" s="23"/>
      <c r="G146" s="23">
        <v>14</v>
      </c>
      <c r="H146" s="23"/>
      <c r="I146" s="27"/>
      <c r="J146" s="24">
        <f t="shared" si="7"/>
        <v>74807.399999999994</v>
      </c>
      <c r="K146" s="24">
        <f t="shared" si="8"/>
        <v>1943.5499999999993</v>
      </c>
    </row>
    <row r="147" spans="2:11" x14ac:dyDescent="0.25">
      <c r="B147" s="31">
        <v>42460</v>
      </c>
      <c r="C147" s="25" t="s">
        <v>321</v>
      </c>
      <c r="D147" s="23"/>
      <c r="E147" s="23"/>
      <c r="F147" s="23"/>
      <c r="G147" s="23">
        <v>2.2400000000000002</v>
      </c>
      <c r="H147" s="23"/>
      <c r="I147" s="27"/>
      <c r="J147" s="24">
        <f t="shared" si="7"/>
        <v>74805.159999999989</v>
      </c>
      <c r="K147" s="24">
        <f t="shared" si="8"/>
        <v>1943.5499999999993</v>
      </c>
    </row>
    <row r="148" spans="2:11" ht="15.75" thickBot="1" x14ac:dyDescent="0.3">
      <c r="B148" s="31">
        <v>42440</v>
      </c>
      <c r="C148" s="25" t="s">
        <v>1118</v>
      </c>
      <c r="D148" s="23"/>
      <c r="E148" s="23">
        <v>-1600</v>
      </c>
      <c r="F148" s="23"/>
      <c r="G148" s="104"/>
      <c r="H148" s="23"/>
      <c r="I148" s="27"/>
      <c r="J148" s="24">
        <f t="shared" si="7"/>
        <v>73205.159999999989</v>
      </c>
      <c r="K148" s="24">
        <f t="shared" si="8"/>
        <v>1943.5499999999993</v>
      </c>
    </row>
    <row r="149" spans="2:11" ht="15.75" thickBot="1" x14ac:dyDescent="0.3">
      <c r="B149" s="13"/>
      <c r="C149" s="16" t="s">
        <v>0</v>
      </c>
      <c r="D149" s="105">
        <f>SUM(D136:D148)</f>
        <v>73095</v>
      </c>
      <c r="E149" s="103">
        <f>SUM(E136:E148)</f>
        <v>14961.11</v>
      </c>
      <c r="F149" s="114">
        <f>SUM(D149:E149)</f>
        <v>88056.11</v>
      </c>
      <c r="G149" s="114">
        <f>SUM(G136:G148)</f>
        <v>2816.24</v>
      </c>
      <c r="H149" s="105">
        <f>SUM(H136:H148)</f>
        <v>102590.53</v>
      </c>
      <c r="I149" s="114">
        <f>SUM(G149+H149)</f>
        <v>105406.77</v>
      </c>
      <c r="J149" s="105"/>
      <c r="K149" s="33"/>
    </row>
    <row r="150" spans="2:11" ht="15.75" thickBot="1" x14ac:dyDescent="0.3"/>
    <row r="151" spans="2:11" ht="15.75" thickBot="1" x14ac:dyDescent="0.3">
      <c r="I151" s="117" t="s">
        <v>174</v>
      </c>
      <c r="J151" s="117" t="s">
        <v>173</v>
      </c>
      <c r="K151" s="141" t="s">
        <v>0</v>
      </c>
    </row>
    <row r="152" spans="2:11" ht="15.75" thickBot="1" x14ac:dyDescent="0.3">
      <c r="I152" s="39">
        <v>73205.16</v>
      </c>
      <c r="J152" s="39">
        <v>1943.55</v>
      </c>
      <c r="K152" s="33">
        <f>SUM(I152:J152)</f>
        <v>75148.710000000006</v>
      </c>
    </row>
  </sheetData>
  <mergeCells count="1">
    <mergeCell ref="B2:K2"/>
  </mergeCells>
  <printOptions horizontalCentered="1"/>
  <pageMargins left="0" right="0" top="0" bottom="0" header="0.11811023622047245" footer="0.51181102362204722"/>
  <pageSetup paperSize="9" scale="85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N128"/>
  <sheetViews>
    <sheetView zoomScaleNormal="100" workbookViewId="0">
      <pane ySplit="5" topLeftCell="A111" activePane="bottomLeft" state="frozen"/>
      <selection activeCell="C41" sqref="C41"/>
      <selection pane="bottomLeft" activeCell="B88" sqref="B88:L127"/>
    </sheetView>
  </sheetViews>
  <sheetFormatPr baseColWidth="10" defaultRowHeight="15" x14ac:dyDescent="0.25"/>
  <cols>
    <col min="1" max="2" width="10.7109375" customWidth="1"/>
    <col min="3" max="3" width="70.28515625" customWidth="1"/>
    <col min="4" max="5" width="9.7109375" customWidth="1"/>
    <col min="6" max="9" width="10.7109375" customWidth="1"/>
    <col min="10" max="11" width="9.7109375" customWidth="1"/>
  </cols>
  <sheetData>
    <row r="1" spans="2:11" ht="15.75" x14ac:dyDescent="0.25">
      <c r="B1" s="45">
        <v>42490</v>
      </c>
      <c r="J1" s="115" t="s">
        <v>326</v>
      </c>
      <c r="K1" s="79"/>
    </row>
    <row r="2" spans="2:11" ht="15.75" thickBot="1" x14ac:dyDescent="0.3">
      <c r="B2" s="154" t="s">
        <v>12</v>
      </c>
      <c r="C2" s="154"/>
      <c r="D2" s="154"/>
      <c r="E2" s="154"/>
      <c r="F2" s="154"/>
      <c r="G2" s="154"/>
      <c r="H2" s="154"/>
      <c r="I2" s="154"/>
      <c r="J2" s="154"/>
      <c r="K2" s="154"/>
    </row>
    <row r="3" spans="2:11" x14ac:dyDescent="0.25">
      <c r="B3" s="111" t="s">
        <v>1</v>
      </c>
      <c r="C3" s="111" t="s">
        <v>2</v>
      </c>
      <c r="D3" s="111" t="s">
        <v>3</v>
      </c>
      <c r="E3" s="111" t="s">
        <v>3</v>
      </c>
      <c r="F3" s="111" t="s">
        <v>323</v>
      </c>
      <c r="G3" s="111" t="s">
        <v>324</v>
      </c>
      <c r="H3" s="81" t="s">
        <v>324</v>
      </c>
      <c r="I3" s="81" t="s">
        <v>323</v>
      </c>
      <c r="J3" s="111" t="s">
        <v>174</v>
      </c>
      <c r="K3" s="81" t="s">
        <v>173</v>
      </c>
    </row>
    <row r="4" spans="2:11" ht="15.75" thickBot="1" x14ac:dyDescent="0.3">
      <c r="B4" s="112"/>
      <c r="C4" s="112"/>
      <c r="D4" s="112" t="s">
        <v>6</v>
      </c>
      <c r="E4" s="112" t="s">
        <v>325</v>
      </c>
      <c r="F4" s="112" t="s">
        <v>3</v>
      </c>
      <c r="G4" s="112" t="s">
        <v>325</v>
      </c>
      <c r="H4" s="113" t="s">
        <v>6</v>
      </c>
      <c r="I4" s="113" t="s">
        <v>5</v>
      </c>
      <c r="J4" s="112"/>
      <c r="K4" s="113"/>
    </row>
    <row r="5" spans="2:11" x14ac:dyDescent="0.25">
      <c r="B5" s="36">
        <v>42459</v>
      </c>
      <c r="C5" s="108" t="s">
        <v>331</v>
      </c>
      <c r="D5" s="109"/>
      <c r="E5" s="106"/>
      <c r="F5" s="106"/>
      <c r="G5" s="106"/>
      <c r="H5" s="30"/>
      <c r="I5" s="107"/>
      <c r="J5" s="116">
        <v>73205.16</v>
      </c>
      <c r="K5" s="110">
        <v>1943.55</v>
      </c>
    </row>
    <row r="6" spans="2:11" x14ac:dyDescent="0.25">
      <c r="B6" s="36">
        <v>42461</v>
      </c>
      <c r="C6" s="21" t="s">
        <v>420</v>
      </c>
      <c r="D6" s="23"/>
      <c r="E6" s="23"/>
      <c r="F6" s="23"/>
      <c r="G6" s="23"/>
      <c r="H6" s="23"/>
      <c r="I6" s="27"/>
      <c r="J6" s="24">
        <f>+J5+E6-G6</f>
        <v>73205.16</v>
      </c>
      <c r="K6" s="24">
        <f>+K5+D6-H6</f>
        <v>1943.55</v>
      </c>
    </row>
    <row r="7" spans="2:11" x14ac:dyDescent="0.25">
      <c r="B7" s="36">
        <v>42461</v>
      </c>
      <c r="C7" s="25" t="s">
        <v>419</v>
      </c>
      <c r="D7" s="23"/>
      <c r="E7" s="23"/>
      <c r="F7" s="23"/>
      <c r="G7" s="23">
        <v>28000</v>
      </c>
      <c r="H7" s="23"/>
      <c r="I7" s="27"/>
      <c r="J7" s="24">
        <f t="shared" ref="J7" si="0">+J6+E7-G7</f>
        <v>45205.16</v>
      </c>
      <c r="K7" s="24">
        <f t="shared" ref="K7:K41" si="1">+K6+D7-H7</f>
        <v>1943.55</v>
      </c>
    </row>
    <row r="8" spans="2:11" x14ac:dyDescent="0.25">
      <c r="B8" s="31">
        <v>42461</v>
      </c>
      <c r="C8" s="21" t="s">
        <v>332</v>
      </c>
      <c r="D8" s="23"/>
      <c r="E8" s="23"/>
      <c r="F8" s="23"/>
      <c r="G8" s="23">
        <v>400</v>
      </c>
      <c r="H8" s="69"/>
      <c r="I8" s="27"/>
      <c r="J8" s="24">
        <f t="shared" ref="J8:J18" si="2">+J7+E8-G8</f>
        <v>44805.16</v>
      </c>
      <c r="K8" s="24">
        <f t="shared" si="1"/>
        <v>1943.55</v>
      </c>
    </row>
    <row r="9" spans="2:11" x14ac:dyDescent="0.25">
      <c r="B9" s="31">
        <v>42463</v>
      </c>
      <c r="C9" s="21" t="s">
        <v>333</v>
      </c>
      <c r="D9" s="23"/>
      <c r="E9" s="23"/>
      <c r="F9" s="23"/>
      <c r="G9" s="23"/>
      <c r="H9" s="23">
        <v>103</v>
      </c>
      <c r="I9" s="27"/>
      <c r="J9" s="24">
        <f t="shared" si="2"/>
        <v>44805.16</v>
      </c>
      <c r="K9" s="24">
        <f t="shared" si="1"/>
        <v>1840.55</v>
      </c>
    </row>
    <row r="10" spans="2:11" x14ac:dyDescent="0.25">
      <c r="B10" s="31">
        <v>42463</v>
      </c>
      <c r="C10" s="21" t="s">
        <v>334</v>
      </c>
      <c r="D10" s="23"/>
      <c r="E10" s="23"/>
      <c r="F10" s="23"/>
      <c r="G10" s="23">
        <v>100</v>
      </c>
      <c r="H10" s="69"/>
      <c r="I10" s="27"/>
      <c r="J10" s="24">
        <f t="shared" si="2"/>
        <v>44705.16</v>
      </c>
      <c r="K10" s="24">
        <f t="shared" si="1"/>
        <v>1840.55</v>
      </c>
    </row>
    <row r="11" spans="2:11" x14ac:dyDescent="0.25">
      <c r="B11" s="31">
        <v>42464</v>
      </c>
      <c r="C11" s="21" t="s">
        <v>335</v>
      </c>
      <c r="D11" s="23">
        <v>20565</v>
      </c>
      <c r="E11" s="23"/>
      <c r="F11" s="23"/>
      <c r="G11" s="23"/>
      <c r="H11" s="23"/>
      <c r="I11" s="27"/>
      <c r="J11" s="24">
        <f t="shared" si="2"/>
        <v>44705.16</v>
      </c>
      <c r="K11" s="24">
        <f t="shared" si="1"/>
        <v>22405.55</v>
      </c>
    </row>
    <row r="12" spans="2:11" x14ac:dyDescent="0.25">
      <c r="B12" s="31">
        <v>42464</v>
      </c>
      <c r="C12" s="21" t="s">
        <v>70</v>
      </c>
      <c r="D12" s="23"/>
      <c r="E12" s="23"/>
      <c r="F12" s="23"/>
      <c r="G12" s="23"/>
      <c r="H12" s="23">
        <v>175</v>
      </c>
      <c r="I12" s="27"/>
      <c r="J12" s="24">
        <f t="shared" si="2"/>
        <v>44705.16</v>
      </c>
      <c r="K12" s="24">
        <f t="shared" si="1"/>
        <v>22230.55</v>
      </c>
    </row>
    <row r="13" spans="2:11" x14ac:dyDescent="0.25">
      <c r="B13" s="31">
        <v>42464</v>
      </c>
      <c r="C13" s="21" t="s">
        <v>336</v>
      </c>
      <c r="D13" s="23"/>
      <c r="E13" s="23"/>
      <c r="F13" s="23"/>
      <c r="G13" s="23">
        <v>450</v>
      </c>
      <c r="H13" s="69"/>
      <c r="I13" s="27"/>
      <c r="J13" s="24">
        <f t="shared" si="2"/>
        <v>44255.16</v>
      </c>
      <c r="K13" s="24">
        <f t="shared" si="1"/>
        <v>22230.55</v>
      </c>
    </row>
    <row r="14" spans="2:11" x14ac:dyDescent="0.25">
      <c r="B14" s="31">
        <v>42464</v>
      </c>
      <c r="C14" s="21" t="s">
        <v>337</v>
      </c>
      <c r="D14" s="23">
        <v>320</v>
      </c>
      <c r="E14" s="23"/>
      <c r="F14" s="23"/>
      <c r="G14" s="23"/>
      <c r="H14" s="23"/>
      <c r="I14" s="27"/>
      <c r="J14" s="24">
        <f t="shared" si="2"/>
        <v>44255.16</v>
      </c>
      <c r="K14" s="24">
        <f t="shared" si="1"/>
        <v>22550.55</v>
      </c>
    </row>
    <row r="15" spans="2:11" x14ac:dyDescent="0.25">
      <c r="B15" s="31">
        <v>42464</v>
      </c>
      <c r="C15" s="21" t="s">
        <v>338</v>
      </c>
      <c r="D15" s="23"/>
      <c r="E15" s="23"/>
      <c r="F15" s="23"/>
      <c r="G15" s="23">
        <v>350</v>
      </c>
      <c r="H15" s="69"/>
      <c r="I15" s="27"/>
      <c r="J15" s="24">
        <f t="shared" si="2"/>
        <v>43905.16</v>
      </c>
      <c r="K15" s="24">
        <f t="shared" si="1"/>
        <v>22550.55</v>
      </c>
    </row>
    <row r="16" spans="2:11" x14ac:dyDescent="0.25">
      <c r="B16" s="31">
        <v>42464</v>
      </c>
      <c r="C16" s="21" t="s">
        <v>339</v>
      </c>
      <c r="D16" s="23"/>
      <c r="E16" s="23"/>
      <c r="F16" s="23"/>
      <c r="G16" s="23"/>
      <c r="H16" s="23">
        <v>180</v>
      </c>
      <c r="I16" s="27"/>
      <c r="J16" s="24">
        <f t="shared" si="2"/>
        <v>43905.16</v>
      </c>
      <c r="K16" s="24">
        <f t="shared" si="1"/>
        <v>22370.55</v>
      </c>
    </row>
    <row r="17" spans="2:11" x14ac:dyDescent="0.25">
      <c r="B17" s="31">
        <v>42464</v>
      </c>
      <c r="C17" s="21" t="s">
        <v>340</v>
      </c>
      <c r="D17" s="23"/>
      <c r="E17" s="23"/>
      <c r="F17" s="23"/>
      <c r="G17" s="23"/>
      <c r="H17" s="23">
        <v>207</v>
      </c>
      <c r="I17" s="27"/>
      <c r="J17" s="24">
        <f t="shared" si="2"/>
        <v>43905.16</v>
      </c>
      <c r="K17" s="24">
        <f t="shared" si="1"/>
        <v>22163.55</v>
      </c>
    </row>
    <row r="18" spans="2:11" x14ac:dyDescent="0.25">
      <c r="B18" s="31">
        <v>42464</v>
      </c>
      <c r="C18" s="21" t="s">
        <v>341</v>
      </c>
      <c r="D18" s="23"/>
      <c r="E18" s="23"/>
      <c r="F18" s="23"/>
      <c r="G18" s="23"/>
      <c r="H18" s="23">
        <v>34</v>
      </c>
      <c r="I18" s="27"/>
      <c r="J18" s="24">
        <f t="shared" si="2"/>
        <v>43905.16</v>
      </c>
      <c r="K18" s="24">
        <f t="shared" si="1"/>
        <v>22129.55</v>
      </c>
    </row>
    <row r="19" spans="2:11" x14ac:dyDescent="0.25">
      <c r="B19" s="31">
        <v>42465</v>
      </c>
      <c r="C19" s="21" t="s">
        <v>376</v>
      </c>
      <c r="D19" s="23"/>
      <c r="E19" s="23">
        <v>12760</v>
      </c>
      <c r="F19" s="23"/>
      <c r="G19" s="23"/>
      <c r="H19" s="23"/>
      <c r="I19" s="27"/>
      <c r="J19" s="24">
        <f t="shared" ref="J19:J41" si="3">+J18+E19-G19</f>
        <v>56665.16</v>
      </c>
      <c r="K19" s="24">
        <f t="shared" si="1"/>
        <v>22129.55</v>
      </c>
    </row>
    <row r="20" spans="2:11" x14ac:dyDescent="0.25">
      <c r="B20" s="31">
        <v>42465</v>
      </c>
      <c r="C20" s="21" t="s">
        <v>342</v>
      </c>
      <c r="D20" s="23"/>
      <c r="E20" s="23"/>
      <c r="F20" s="23"/>
      <c r="G20" s="23"/>
      <c r="H20" s="23">
        <v>360</v>
      </c>
      <c r="I20" s="27"/>
      <c r="J20" s="24">
        <f t="shared" si="3"/>
        <v>56665.16</v>
      </c>
      <c r="K20" s="24">
        <f t="shared" si="1"/>
        <v>21769.55</v>
      </c>
    </row>
    <row r="21" spans="2:11" x14ac:dyDescent="0.25">
      <c r="B21" s="31">
        <v>42465</v>
      </c>
      <c r="C21" s="21" t="s">
        <v>259</v>
      </c>
      <c r="D21" s="23"/>
      <c r="E21" s="23"/>
      <c r="F21" s="23"/>
      <c r="G21" s="23"/>
      <c r="H21" s="23">
        <v>145</v>
      </c>
      <c r="I21" s="27"/>
      <c r="J21" s="24">
        <f t="shared" si="3"/>
        <v>56665.16</v>
      </c>
      <c r="K21" s="24">
        <f t="shared" si="1"/>
        <v>21624.55</v>
      </c>
    </row>
    <row r="22" spans="2:11" x14ac:dyDescent="0.25">
      <c r="B22" s="31">
        <v>42465</v>
      </c>
      <c r="C22" s="21" t="s">
        <v>343</v>
      </c>
      <c r="D22" s="23"/>
      <c r="E22" s="23"/>
      <c r="F22" s="23"/>
      <c r="G22" s="23">
        <v>100</v>
      </c>
      <c r="H22" s="69"/>
      <c r="I22" s="27"/>
      <c r="J22" s="24">
        <f t="shared" si="3"/>
        <v>56565.16</v>
      </c>
      <c r="K22" s="24">
        <f t="shared" si="1"/>
        <v>21624.55</v>
      </c>
    </row>
    <row r="23" spans="2:11" x14ac:dyDescent="0.25">
      <c r="B23" s="31">
        <v>42466</v>
      </c>
      <c r="C23" s="21" t="s">
        <v>344</v>
      </c>
      <c r="D23" s="23"/>
      <c r="E23" s="23"/>
      <c r="F23" s="23"/>
      <c r="G23" s="23">
        <v>1200</v>
      </c>
      <c r="H23" s="69"/>
      <c r="I23" s="27"/>
      <c r="J23" s="24">
        <f t="shared" si="3"/>
        <v>55365.16</v>
      </c>
      <c r="K23" s="24">
        <f t="shared" si="1"/>
        <v>21624.55</v>
      </c>
    </row>
    <row r="24" spans="2:11" x14ac:dyDescent="0.25">
      <c r="B24" s="31">
        <v>42467</v>
      </c>
      <c r="C24" s="21" t="s">
        <v>345</v>
      </c>
      <c r="D24" s="23"/>
      <c r="E24" s="23"/>
      <c r="F24" s="23"/>
      <c r="G24" s="23"/>
      <c r="H24" s="23">
        <v>319.75</v>
      </c>
      <c r="I24" s="27"/>
      <c r="J24" s="24">
        <f t="shared" si="3"/>
        <v>55365.16</v>
      </c>
      <c r="K24" s="24">
        <f t="shared" si="1"/>
        <v>21304.799999999999</v>
      </c>
    </row>
    <row r="25" spans="2:11" x14ac:dyDescent="0.25">
      <c r="B25" s="31">
        <v>42467</v>
      </c>
      <c r="C25" s="21" t="s">
        <v>346</v>
      </c>
      <c r="D25" s="23"/>
      <c r="E25" s="23"/>
      <c r="F25" s="23"/>
      <c r="G25" s="23"/>
      <c r="H25" s="23">
        <v>360</v>
      </c>
      <c r="I25" s="27"/>
      <c r="J25" s="24">
        <f t="shared" si="3"/>
        <v>55365.16</v>
      </c>
      <c r="K25" s="24">
        <f t="shared" si="1"/>
        <v>20944.8</v>
      </c>
    </row>
    <row r="26" spans="2:11" x14ac:dyDescent="0.25">
      <c r="B26" s="31">
        <v>42467</v>
      </c>
      <c r="C26" s="21" t="s">
        <v>347</v>
      </c>
      <c r="D26" s="23"/>
      <c r="E26" s="23"/>
      <c r="F26" s="23"/>
      <c r="G26" s="23"/>
      <c r="H26" s="23">
        <v>163</v>
      </c>
      <c r="I26" s="27"/>
      <c r="J26" s="24">
        <f t="shared" si="3"/>
        <v>55365.16</v>
      </c>
      <c r="K26" s="24">
        <f t="shared" si="1"/>
        <v>20781.8</v>
      </c>
    </row>
    <row r="27" spans="2:11" x14ac:dyDescent="0.25">
      <c r="B27" s="31">
        <v>42467</v>
      </c>
      <c r="C27" s="21" t="s">
        <v>347</v>
      </c>
      <c r="D27" s="23"/>
      <c r="E27" s="23"/>
      <c r="F27" s="23"/>
      <c r="G27" s="23"/>
      <c r="H27" s="23">
        <v>29</v>
      </c>
      <c r="I27" s="27"/>
      <c r="J27" s="24">
        <f t="shared" si="3"/>
        <v>55365.16</v>
      </c>
      <c r="K27" s="24">
        <f t="shared" si="1"/>
        <v>20752.8</v>
      </c>
    </row>
    <row r="28" spans="2:11" x14ac:dyDescent="0.25">
      <c r="B28" s="31">
        <v>42467</v>
      </c>
      <c r="C28" s="21" t="s">
        <v>348</v>
      </c>
      <c r="D28" s="23"/>
      <c r="E28" s="23"/>
      <c r="F28" s="23"/>
      <c r="G28" s="23"/>
      <c r="H28" s="23">
        <v>440</v>
      </c>
      <c r="I28" s="27"/>
      <c r="J28" s="24">
        <f t="shared" si="3"/>
        <v>55365.16</v>
      </c>
      <c r="K28" s="24">
        <f t="shared" si="1"/>
        <v>20312.8</v>
      </c>
    </row>
    <row r="29" spans="2:11" x14ac:dyDescent="0.25">
      <c r="B29" s="31">
        <v>42467</v>
      </c>
      <c r="C29" s="21" t="s">
        <v>349</v>
      </c>
      <c r="D29" s="23"/>
      <c r="E29" s="23"/>
      <c r="F29" s="23"/>
      <c r="G29" s="23"/>
      <c r="H29" s="23">
        <v>991</v>
      </c>
      <c r="I29" s="27"/>
      <c r="J29" s="24">
        <f t="shared" si="3"/>
        <v>55365.16</v>
      </c>
      <c r="K29" s="24">
        <f t="shared" si="1"/>
        <v>19321.8</v>
      </c>
    </row>
    <row r="30" spans="2:11" x14ac:dyDescent="0.25">
      <c r="B30" s="31">
        <v>42468</v>
      </c>
      <c r="C30" s="21" t="s">
        <v>350</v>
      </c>
      <c r="D30" s="23"/>
      <c r="E30" s="23"/>
      <c r="F30" s="23"/>
      <c r="G30" s="23">
        <v>1000</v>
      </c>
      <c r="H30" s="69"/>
      <c r="I30" s="27"/>
      <c r="J30" s="24">
        <f t="shared" si="3"/>
        <v>54365.16</v>
      </c>
      <c r="K30" s="24">
        <f t="shared" si="1"/>
        <v>19321.8</v>
      </c>
    </row>
    <row r="31" spans="2:11" x14ac:dyDescent="0.25">
      <c r="B31" s="31">
        <v>42470</v>
      </c>
      <c r="C31" s="21" t="s">
        <v>351</v>
      </c>
      <c r="D31" s="23"/>
      <c r="E31" s="23"/>
      <c r="F31" s="23"/>
      <c r="G31" s="23"/>
      <c r="H31" s="23">
        <v>100</v>
      </c>
      <c r="I31" s="27"/>
      <c r="J31" s="24">
        <f t="shared" si="3"/>
        <v>54365.16</v>
      </c>
      <c r="K31" s="24">
        <f t="shared" si="1"/>
        <v>19221.8</v>
      </c>
    </row>
    <row r="32" spans="2:11" x14ac:dyDescent="0.25">
      <c r="B32" s="31">
        <v>42470</v>
      </c>
      <c r="C32" s="21" t="s">
        <v>333</v>
      </c>
      <c r="D32" s="23"/>
      <c r="E32" s="23"/>
      <c r="F32" s="23"/>
      <c r="G32" s="23"/>
      <c r="H32" s="23">
        <v>87</v>
      </c>
      <c r="I32" s="27"/>
      <c r="J32" s="24">
        <f t="shared" si="3"/>
        <v>54365.16</v>
      </c>
      <c r="K32" s="24">
        <f t="shared" si="1"/>
        <v>19134.8</v>
      </c>
    </row>
    <row r="33" spans="2:11" x14ac:dyDescent="0.25">
      <c r="B33" s="31">
        <v>42470</v>
      </c>
      <c r="C33" s="21" t="s">
        <v>333</v>
      </c>
      <c r="D33" s="23"/>
      <c r="E33" s="23"/>
      <c r="F33" s="23"/>
      <c r="G33" s="23"/>
      <c r="H33" s="23">
        <v>120.2</v>
      </c>
      <c r="I33" s="27"/>
      <c r="J33" s="24">
        <f t="shared" si="3"/>
        <v>54365.16</v>
      </c>
      <c r="K33" s="24">
        <f t="shared" si="1"/>
        <v>19014.599999999999</v>
      </c>
    </row>
    <row r="34" spans="2:11" x14ac:dyDescent="0.25">
      <c r="B34" s="31">
        <v>42471</v>
      </c>
      <c r="C34" s="21" t="s">
        <v>97</v>
      </c>
      <c r="D34" s="23"/>
      <c r="E34" s="23"/>
      <c r="F34" s="23"/>
      <c r="G34" s="23"/>
      <c r="H34" s="23">
        <v>110</v>
      </c>
      <c r="I34" s="27"/>
      <c r="J34" s="24">
        <f t="shared" si="3"/>
        <v>54365.16</v>
      </c>
      <c r="K34" s="24">
        <f t="shared" si="1"/>
        <v>18904.599999999999</v>
      </c>
    </row>
    <row r="35" spans="2:11" x14ac:dyDescent="0.25">
      <c r="B35" s="31">
        <v>42471</v>
      </c>
      <c r="C35" s="21" t="s">
        <v>352</v>
      </c>
      <c r="D35" s="23"/>
      <c r="E35" s="23"/>
      <c r="F35" s="23"/>
      <c r="G35" s="23"/>
      <c r="H35" s="23">
        <v>56</v>
      </c>
      <c r="I35" s="27"/>
      <c r="J35" s="24">
        <f t="shared" si="3"/>
        <v>54365.16</v>
      </c>
      <c r="K35" s="24">
        <f t="shared" si="1"/>
        <v>18848.599999999999</v>
      </c>
    </row>
    <row r="36" spans="2:11" x14ac:dyDescent="0.25">
      <c r="B36" s="31">
        <v>42471</v>
      </c>
      <c r="C36" s="21" t="s">
        <v>353</v>
      </c>
      <c r="D36" s="23"/>
      <c r="E36" s="23"/>
      <c r="F36" s="23"/>
      <c r="G36" s="23"/>
      <c r="H36" s="23">
        <v>73.5</v>
      </c>
      <c r="I36" s="27"/>
      <c r="J36" s="24">
        <f t="shared" si="3"/>
        <v>54365.16</v>
      </c>
      <c r="K36" s="24">
        <f t="shared" si="1"/>
        <v>18775.099999999999</v>
      </c>
    </row>
    <row r="37" spans="2:11" x14ac:dyDescent="0.25">
      <c r="B37" s="31">
        <v>42471</v>
      </c>
      <c r="C37" s="21" t="s">
        <v>354</v>
      </c>
      <c r="D37" s="23"/>
      <c r="E37" s="23"/>
      <c r="F37" s="23"/>
      <c r="G37" s="23"/>
      <c r="H37" s="23">
        <v>511</v>
      </c>
      <c r="I37" s="27"/>
      <c r="J37" s="24">
        <f t="shared" si="3"/>
        <v>54365.16</v>
      </c>
      <c r="K37" s="24">
        <f t="shared" si="1"/>
        <v>18264.099999999999</v>
      </c>
    </row>
    <row r="38" spans="2:11" x14ac:dyDescent="0.25">
      <c r="B38" s="31">
        <v>42471</v>
      </c>
      <c r="C38" s="21" t="s">
        <v>355</v>
      </c>
      <c r="D38" s="23"/>
      <c r="E38" s="23"/>
      <c r="F38" s="23"/>
      <c r="G38" s="23">
        <v>600</v>
      </c>
      <c r="H38" s="69"/>
      <c r="I38" s="27"/>
      <c r="J38" s="24">
        <f t="shared" si="3"/>
        <v>53765.16</v>
      </c>
      <c r="K38" s="24">
        <f t="shared" si="1"/>
        <v>18264.099999999999</v>
      </c>
    </row>
    <row r="39" spans="2:11" x14ac:dyDescent="0.25">
      <c r="B39" s="31">
        <v>42471</v>
      </c>
      <c r="C39" s="21" t="s">
        <v>356</v>
      </c>
      <c r="D39" s="23">
        <v>20790</v>
      </c>
      <c r="E39" s="23"/>
      <c r="F39" s="23"/>
      <c r="G39" s="23"/>
      <c r="H39" s="23"/>
      <c r="I39" s="27"/>
      <c r="J39" s="24">
        <f t="shared" si="3"/>
        <v>53765.16</v>
      </c>
      <c r="K39" s="24">
        <f t="shared" si="1"/>
        <v>39054.1</v>
      </c>
    </row>
    <row r="40" spans="2:11" x14ac:dyDescent="0.25">
      <c r="B40" s="31">
        <v>42473</v>
      </c>
      <c r="C40" s="21" t="s">
        <v>357</v>
      </c>
      <c r="D40" s="23"/>
      <c r="E40" s="23"/>
      <c r="F40" s="23"/>
      <c r="G40" s="23"/>
      <c r="H40" s="23">
        <v>550</v>
      </c>
      <c r="I40" s="27"/>
      <c r="J40" s="24">
        <f t="shared" si="3"/>
        <v>53765.16</v>
      </c>
      <c r="K40" s="24">
        <f t="shared" si="1"/>
        <v>38504.1</v>
      </c>
    </row>
    <row r="41" spans="2:11" ht="15.75" thickBot="1" x14ac:dyDescent="0.3">
      <c r="B41" s="31">
        <v>42473</v>
      </c>
      <c r="C41" s="21" t="s">
        <v>358</v>
      </c>
      <c r="D41" s="23"/>
      <c r="E41" s="23"/>
      <c r="F41" s="23"/>
      <c r="G41" s="23">
        <v>600</v>
      </c>
      <c r="H41" s="69"/>
      <c r="I41" s="27"/>
      <c r="J41" s="24">
        <f t="shared" si="3"/>
        <v>53165.16</v>
      </c>
      <c r="K41" s="24">
        <f t="shared" si="1"/>
        <v>38504.1</v>
      </c>
    </row>
    <row r="42" spans="2:11" ht="15.75" thickBot="1" x14ac:dyDescent="0.3">
      <c r="B42" s="13"/>
      <c r="C42" s="16" t="s">
        <v>0</v>
      </c>
      <c r="D42" s="105">
        <f>SUM(D5:D41)</f>
        <v>41675</v>
      </c>
      <c r="E42" s="103">
        <f>SUM(E5:E41)</f>
        <v>12760</v>
      </c>
      <c r="F42" s="114">
        <f>SUM(D42:E42)</f>
        <v>54435</v>
      </c>
      <c r="G42" s="114">
        <f>SUM(G5:G41)</f>
        <v>32800</v>
      </c>
      <c r="H42" s="105">
        <f>SUM(H5:H41)</f>
        <v>5114.45</v>
      </c>
      <c r="I42" s="114">
        <f>SUM(G42:H42)</f>
        <v>37914.449999999997</v>
      </c>
      <c r="J42" s="33"/>
      <c r="K42" s="33"/>
    </row>
    <row r="43" spans="2:11" x14ac:dyDescent="0.25">
      <c r="D43" s="1"/>
      <c r="E43" s="1"/>
      <c r="F43" s="1"/>
      <c r="G43" s="1"/>
      <c r="J43" s="1"/>
    </row>
    <row r="44" spans="2:11" ht="15.75" x14ac:dyDescent="0.25">
      <c r="B44" s="45">
        <v>42490</v>
      </c>
      <c r="J44" s="115" t="s">
        <v>421</v>
      </c>
      <c r="K44" s="79"/>
    </row>
    <row r="45" spans="2:11" ht="15.75" thickBot="1" x14ac:dyDescent="0.3">
      <c r="B45" s="154" t="s">
        <v>12</v>
      </c>
      <c r="C45" s="154"/>
      <c r="D45" s="154"/>
      <c r="E45" s="154"/>
      <c r="F45" s="154"/>
      <c r="G45" s="154"/>
      <c r="H45" s="154"/>
      <c r="I45" s="154"/>
      <c r="J45" s="154"/>
      <c r="K45" s="154"/>
    </row>
    <row r="46" spans="2:11" x14ac:dyDescent="0.25">
      <c r="B46" s="111" t="s">
        <v>1</v>
      </c>
      <c r="C46" s="111" t="s">
        <v>2</v>
      </c>
      <c r="D46" s="111" t="s">
        <v>3</v>
      </c>
      <c r="E46" s="111" t="s">
        <v>3</v>
      </c>
      <c r="F46" s="111" t="s">
        <v>323</v>
      </c>
      <c r="G46" s="111" t="s">
        <v>324</v>
      </c>
      <c r="H46" s="81" t="s">
        <v>324</v>
      </c>
      <c r="I46" s="81" t="s">
        <v>323</v>
      </c>
      <c r="J46" s="111" t="s">
        <v>174</v>
      </c>
      <c r="K46" s="81" t="s">
        <v>173</v>
      </c>
    </row>
    <row r="47" spans="2:11" ht="15.75" thickBot="1" x14ac:dyDescent="0.3">
      <c r="B47" s="112"/>
      <c r="C47" s="112"/>
      <c r="D47" s="112" t="s">
        <v>6</v>
      </c>
      <c r="E47" s="112" t="s">
        <v>325</v>
      </c>
      <c r="F47" s="112" t="s">
        <v>3</v>
      </c>
      <c r="G47" s="112" t="s">
        <v>325</v>
      </c>
      <c r="H47" s="113" t="s">
        <v>6</v>
      </c>
      <c r="I47" s="113" t="s">
        <v>5</v>
      </c>
      <c r="J47" s="112"/>
      <c r="K47" s="113"/>
    </row>
    <row r="48" spans="2:11" ht="15.75" thickBot="1" x14ac:dyDescent="0.3">
      <c r="B48" s="47"/>
      <c r="C48" s="119" t="s">
        <v>0</v>
      </c>
      <c r="D48" s="120">
        <v>41675</v>
      </c>
      <c r="E48" s="120">
        <v>12760</v>
      </c>
      <c r="F48" s="120">
        <f>SUM(D48:E48)</f>
        <v>54435</v>
      </c>
      <c r="G48" s="120">
        <v>32800</v>
      </c>
      <c r="H48" s="105">
        <v>5114.45</v>
      </c>
      <c r="I48" s="105">
        <f>SUM(G48:H48)</f>
        <v>37914.449999999997</v>
      </c>
      <c r="J48" s="105">
        <v>52965.16</v>
      </c>
      <c r="K48" s="33">
        <v>38704.1</v>
      </c>
    </row>
    <row r="49" spans="2:11" x14ac:dyDescent="0.25">
      <c r="B49" s="31">
        <v>42474</v>
      </c>
      <c r="C49" s="21" t="s">
        <v>359</v>
      </c>
      <c r="D49" s="23"/>
      <c r="E49" s="23"/>
      <c r="F49" s="23"/>
      <c r="G49" s="23"/>
      <c r="H49" s="23">
        <v>263.2</v>
      </c>
      <c r="I49" s="27"/>
      <c r="J49" s="24">
        <f t="shared" ref="J49:J50" si="4">+J48+E49-G49</f>
        <v>52965.16</v>
      </c>
      <c r="K49" s="24">
        <f t="shared" ref="K49:K50" si="5">+K48+D49-H49</f>
        <v>38440.9</v>
      </c>
    </row>
    <row r="50" spans="2:11" x14ac:dyDescent="0.25">
      <c r="B50" s="31">
        <v>42474</v>
      </c>
      <c r="C50" s="21" t="s">
        <v>360</v>
      </c>
      <c r="D50" s="23"/>
      <c r="E50" s="23"/>
      <c r="F50" s="23"/>
      <c r="G50" s="23"/>
      <c r="H50" s="23">
        <v>120</v>
      </c>
      <c r="I50" s="27"/>
      <c r="J50" s="24">
        <f t="shared" si="4"/>
        <v>52965.16</v>
      </c>
      <c r="K50" s="24">
        <f t="shared" si="5"/>
        <v>38320.9</v>
      </c>
    </row>
    <row r="51" spans="2:11" x14ac:dyDescent="0.25">
      <c r="B51" s="36">
        <v>42474</v>
      </c>
      <c r="C51" s="118" t="s">
        <v>363</v>
      </c>
      <c r="D51" s="30"/>
      <c r="E51" s="30"/>
      <c r="F51" s="30"/>
      <c r="G51" s="30"/>
      <c r="H51" s="30">
        <v>76</v>
      </c>
      <c r="I51" s="107"/>
      <c r="J51" s="24">
        <f>+J50+E51-G51</f>
        <v>52965.16</v>
      </c>
      <c r="K51" s="24">
        <f>+K50+D51-H51</f>
        <v>38244.9</v>
      </c>
    </row>
    <row r="52" spans="2:11" x14ac:dyDescent="0.25">
      <c r="B52" s="31">
        <v>42475</v>
      </c>
      <c r="C52" s="21" t="s">
        <v>364</v>
      </c>
      <c r="D52" s="23"/>
      <c r="E52" s="23"/>
      <c r="F52" s="23"/>
      <c r="G52" s="23"/>
      <c r="H52" s="23">
        <v>1000</v>
      </c>
      <c r="I52" s="27"/>
      <c r="J52" s="24">
        <f t="shared" ref="J52:J86" si="6">+J51+E52-G52</f>
        <v>52965.16</v>
      </c>
      <c r="K52" s="24">
        <f t="shared" ref="K52:K86" si="7">+K51+D52-H52</f>
        <v>37244.9</v>
      </c>
    </row>
    <row r="53" spans="2:11" x14ac:dyDescent="0.25">
      <c r="B53" s="31">
        <v>42475</v>
      </c>
      <c r="C53" s="21" t="s">
        <v>365</v>
      </c>
      <c r="D53" s="23"/>
      <c r="E53" s="23"/>
      <c r="F53" s="23"/>
      <c r="G53" s="23"/>
      <c r="H53" s="23">
        <v>450</v>
      </c>
      <c r="I53" s="27"/>
      <c r="J53" s="24">
        <f>+J52+E53-G53</f>
        <v>52965.16</v>
      </c>
      <c r="K53" s="24">
        <f>+K52+D53-H53</f>
        <v>36794.9</v>
      </c>
    </row>
    <row r="54" spans="2:11" x14ac:dyDescent="0.25">
      <c r="B54" s="31">
        <v>42475</v>
      </c>
      <c r="C54" s="21" t="s">
        <v>41</v>
      </c>
      <c r="D54" s="23"/>
      <c r="E54" s="23"/>
      <c r="F54" s="23"/>
      <c r="G54" s="23"/>
      <c r="H54" s="23">
        <v>185</v>
      </c>
      <c r="I54" s="27"/>
      <c r="J54" s="24">
        <f t="shared" si="6"/>
        <v>52965.16</v>
      </c>
      <c r="K54" s="24">
        <f t="shared" si="7"/>
        <v>36609.9</v>
      </c>
    </row>
    <row r="55" spans="2:11" x14ac:dyDescent="0.25">
      <c r="B55" s="31">
        <v>42475</v>
      </c>
      <c r="C55" s="25" t="s">
        <v>366</v>
      </c>
      <c r="D55" s="73"/>
      <c r="E55" s="73"/>
      <c r="F55" s="73"/>
      <c r="G55" s="73"/>
      <c r="H55" s="23">
        <v>2700</v>
      </c>
      <c r="I55" s="27"/>
      <c r="J55" s="24">
        <f t="shared" si="6"/>
        <v>52965.16</v>
      </c>
      <c r="K55" s="24">
        <f t="shared" si="7"/>
        <v>33909.9</v>
      </c>
    </row>
    <row r="56" spans="2:11" x14ac:dyDescent="0.25">
      <c r="B56" s="31">
        <v>42475</v>
      </c>
      <c r="C56" s="25" t="s">
        <v>367</v>
      </c>
      <c r="D56" s="73"/>
      <c r="E56" s="73"/>
      <c r="F56" s="73"/>
      <c r="G56" s="28"/>
      <c r="H56" s="23">
        <v>29000</v>
      </c>
      <c r="I56" s="27"/>
      <c r="J56" s="24">
        <f t="shared" si="6"/>
        <v>52965.16</v>
      </c>
      <c r="K56" s="24">
        <f t="shared" si="7"/>
        <v>4909.9000000000015</v>
      </c>
    </row>
    <row r="57" spans="2:11" x14ac:dyDescent="0.25">
      <c r="B57" s="31">
        <v>42474</v>
      </c>
      <c r="C57" s="25" t="s">
        <v>368</v>
      </c>
      <c r="D57" s="73"/>
      <c r="E57" s="73"/>
      <c r="F57" s="73"/>
      <c r="G57" s="73"/>
      <c r="H57" s="23">
        <v>4000</v>
      </c>
      <c r="I57" s="27"/>
      <c r="J57" s="24">
        <f t="shared" si="6"/>
        <v>52965.16</v>
      </c>
      <c r="K57" s="24">
        <f t="shared" si="7"/>
        <v>909.90000000000146</v>
      </c>
    </row>
    <row r="58" spans="2:11" x14ac:dyDescent="0.25">
      <c r="B58" s="31">
        <v>42476</v>
      </c>
      <c r="C58" s="21" t="s">
        <v>369</v>
      </c>
      <c r="D58" s="23"/>
      <c r="E58" s="23"/>
      <c r="F58" s="23"/>
      <c r="G58" s="23">
        <v>100</v>
      </c>
      <c r="H58" s="69"/>
      <c r="I58" s="27"/>
      <c r="J58" s="24">
        <f t="shared" si="6"/>
        <v>52865.16</v>
      </c>
      <c r="K58" s="24">
        <f t="shared" si="7"/>
        <v>909.90000000000146</v>
      </c>
    </row>
    <row r="59" spans="2:11" x14ac:dyDescent="0.25">
      <c r="B59" s="31">
        <v>42476</v>
      </c>
      <c r="C59" s="21" t="s">
        <v>370</v>
      </c>
      <c r="D59" s="23"/>
      <c r="E59" s="23"/>
      <c r="F59" s="23"/>
      <c r="G59" s="23"/>
      <c r="H59" s="23">
        <v>5</v>
      </c>
      <c r="I59" s="27"/>
      <c r="J59" s="24">
        <f t="shared" si="6"/>
        <v>52865.16</v>
      </c>
      <c r="K59" s="24">
        <f t="shared" si="7"/>
        <v>904.90000000000146</v>
      </c>
    </row>
    <row r="60" spans="2:11" x14ac:dyDescent="0.25">
      <c r="B60" s="31">
        <v>42477</v>
      </c>
      <c r="C60" s="21" t="s">
        <v>371</v>
      </c>
      <c r="D60" s="23"/>
      <c r="E60" s="23"/>
      <c r="F60" s="23"/>
      <c r="G60" s="23"/>
      <c r="H60" s="23">
        <v>139</v>
      </c>
      <c r="I60" s="27"/>
      <c r="J60" s="24">
        <f t="shared" si="6"/>
        <v>52865.16</v>
      </c>
      <c r="K60" s="24">
        <f t="shared" si="7"/>
        <v>765.90000000000146</v>
      </c>
    </row>
    <row r="61" spans="2:11" x14ac:dyDescent="0.25">
      <c r="B61" s="31">
        <v>42477</v>
      </c>
      <c r="C61" s="21" t="s">
        <v>372</v>
      </c>
      <c r="D61" s="23"/>
      <c r="E61" s="23"/>
      <c r="F61" s="23"/>
      <c r="G61" s="23">
        <v>100</v>
      </c>
      <c r="H61" s="69"/>
      <c r="I61" s="27"/>
      <c r="J61" s="24">
        <f t="shared" si="6"/>
        <v>52765.16</v>
      </c>
      <c r="K61" s="24">
        <f t="shared" si="7"/>
        <v>765.90000000000146</v>
      </c>
    </row>
    <row r="62" spans="2:11" x14ac:dyDescent="0.25">
      <c r="B62" s="31">
        <v>42477</v>
      </c>
      <c r="C62" s="21" t="s">
        <v>373</v>
      </c>
      <c r="D62" s="23"/>
      <c r="E62" s="23"/>
      <c r="F62" s="23"/>
      <c r="G62" s="23"/>
      <c r="H62" s="23">
        <v>500</v>
      </c>
      <c r="I62" s="27"/>
      <c r="J62" s="24">
        <f t="shared" si="6"/>
        <v>52765.16</v>
      </c>
      <c r="K62" s="24">
        <f t="shared" si="7"/>
        <v>265.90000000000146</v>
      </c>
    </row>
    <row r="63" spans="2:11" x14ac:dyDescent="0.25">
      <c r="B63" s="31">
        <v>42477</v>
      </c>
      <c r="C63" s="21" t="s">
        <v>375</v>
      </c>
      <c r="D63" s="23">
        <v>21160</v>
      </c>
      <c r="E63" s="23"/>
      <c r="F63" s="23"/>
      <c r="G63" s="23"/>
      <c r="H63" s="23"/>
      <c r="I63" s="27"/>
      <c r="J63" s="24">
        <f t="shared" si="6"/>
        <v>52765.16</v>
      </c>
      <c r="K63" s="24">
        <f t="shared" si="7"/>
        <v>21425.9</v>
      </c>
    </row>
    <row r="64" spans="2:11" x14ac:dyDescent="0.25">
      <c r="B64" s="31">
        <v>42478</v>
      </c>
      <c r="C64" s="21" t="s">
        <v>17</v>
      </c>
      <c r="D64" s="23"/>
      <c r="E64" s="23"/>
      <c r="F64" s="23"/>
      <c r="G64" s="23"/>
      <c r="H64" s="23">
        <v>110</v>
      </c>
      <c r="I64" s="27"/>
      <c r="J64" s="24">
        <f t="shared" si="6"/>
        <v>52765.16</v>
      </c>
      <c r="K64" s="24">
        <f t="shared" si="7"/>
        <v>21315.9</v>
      </c>
    </row>
    <row r="65" spans="2:11" x14ac:dyDescent="0.25">
      <c r="B65" s="31">
        <v>42475</v>
      </c>
      <c r="C65" s="21" t="s">
        <v>374</v>
      </c>
      <c r="D65" s="23"/>
      <c r="E65" s="23"/>
      <c r="F65" s="23"/>
      <c r="G65" s="23"/>
      <c r="H65" s="23">
        <v>287</v>
      </c>
      <c r="I65" s="27"/>
      <c r="J65" s="24">
        <f t="shared" si="6"/>
        <v>52765.16</v>
      </c>
      <c r="K65" s="24">
        <f t="shared" si="7"/>
        <v>21028.9</v>
      </c>
    </row>
    <row r="66" spans="2:11" x14ac:dyDescent="0.25">
      <c r="B66" s="31">
        <v>42479</v>
      </c>
      <c r="C66" s="21" t="s">
        <v>377</v>
      </c>
      <c r="D66" s="23"/>
      <c r="E66" s="23"/>
      <c r="F66" s="23"/>
      <c r="G66" s="23"/>
      <c r="H66" s="23">
        <v>329.6</v>
      </c>
      <c r="I66" s="27"/>
      <c r="J66" s="24">
        <f t="shared" si="6"/>
        <v>52765.16</v>
      </c>
      <c r="K66" s="24">
        <f t="shared" si="7"/>
        <v>20699.300000000003</v>
      </c>
    </row>
    <row r="67" spans="2:11" x14ac:dyDescent="0.25">
      <c r="B67" s="31">
        <v>42479</v>
      </c>
      <c r="C67" s="21" t="s">
        <v>377</v>
      </c>
      <c r="D67" s="23"/>
      <c r="E67" s="23"/>
      <c r="F67" s="23"/>
      <c r="G67" s="23"/>
      <c r="H67" s="23">
        <v>19.5</v>
      </c>
      <c r="I67" s="27"/>
      <c r="J67" s="24">
        <f t="shared" si="6"/>
        <v>52765.16</v>
      </c>
      <c r="K67" s="24">
        <f t="shared" si="7"/>
        <v>20679.800000000003</v>
      </c>
    </row>
    <row r="68" spans="2:11" x14ac:dyDescent="0.25">
      <c r="B68" s="31">
        <v>42480</v>
      </c>
      <c r="C68" s="62" t="s">
        <v>378</v>
      </c>
      <c r="D68" s="73"/>
      <c r="E68" s="73"/>
      <c r="F68" s="73"/>
      <c r="G68" s="28">
        <v>1760</v>
      </c>
      <c r="H68" s="23"/>
      <c r="I68" s="27"/>
      <c r="J68" s="24">
        <f t="shared" si="6"/>
        <v>51005.16</v>
      </c>
      <c r="K68" s="24">
        <f t="shared" si="7"/>
        <v>20679.800000000003</v>
      </c>
    </row>
    <row r="69" spans="2:11" x14ac:dyDescent="0.25">
      <c r="B69" s="31">
        <v>42480</v>
      </c>
      <c r="C69" s="60" t="s">
        <v>379</v>
      </c>
      <c r="D69" s="73"/>
      <c r="E69" s="73"/>
      <c r="F69" s="73"/>
      <c r="G69" s="28">
        <v>1224</v>
      </c>
      <c r="H69" s="23"/>
      <c r="I69" s="27"/>
      <c r="J69" s="24">
        <f t="shared" si="6"/>
        <v>49781.16</v>
      </c>
      <c r="K69" s="24">
        <f t="shared" si="7"/>
        <v>20679.800000000003</v>
      </c>
    </row>
    <row r="70" spans="2:11" x14ac:dyDescent="0.25">
      <c r="B70" s="31">
        <v>42480</v>
      </c>
      <c r="C70" s="46" t="s">
        <v>380</v>
      </c>
      <c r="D70" s="23"/>
      <c r="E70" s="23">
        <v>300</v>
      </c>
      <c r="F70" s="23"/>
      <c r="G70" s="23"/>
      <c r="H70" s="23"/>
      <c r="I70" s="27"/>
      <c r="J70" s="24">
        <f t="shared" si="6"/>
        <v>50081.16</v>
      </c>
      <c r="K70" s="24">
        <f t="shared" si="7"/>
        <v>20679.800000000003</v>
      </c>
    </row>
    <row r="71" spans="2:11" x14ac:dyDescent="0.25">
      <c r="B71" s="31">
        <v>42481</v>
      </c>
      <c r="C71" s="21" t="s">
        <v>381</v>
      </c>
      <c r="D71" s="23"/>
      <c r="E71" s="23"/>
      <c r="F71" s="23"/>
      <c r="G71" s="23">
        <v>1400</v>
      </c>
      <c r="H71" s="23"/>
      <c r="I71" s="27"/>
      <c r="J71" s="24">
        <f t="shared" si="6"/>
        <v>48681.16</v>
      </c>
      <c r="K71" s="24">
        <f t="shared" si="7"/>
        <v>20679.800000000003</v>
      </c>
    </row>
    <row r="72" spans="2:11" x14ac:dyDescent="0.25">
      <c r="B72" s="31">
        <v>42481</v>
      </c>
      <c r="C72" s="21" t="s">
        <v>359</v>
      </c>
      <c r="D72" s="23"/>
      <c r="E72" s="23"/>
      <c r="F72" s="23"/>
      <c r="G72" s="23"/>
      <c r="H72" s="23">
        <v>263.2</v>
      </c>
      <c r="I72" s="27"/>
      <c r="J72" s="24">
        <f t="shared" si="6"/>
        <v>48681.16</v>
      </c>
      <c r="K72" s="24">
        <f t="shared" si="7"/>
        <v>20416.600000000002</v>
      </c>
    </row>
    <row r="73" spans="2:11" x14ac:dyDescent="0.25">
      <c r="B73" s="31">
        <v>42481</v>
      </c>
      <c r="C73" s="21" t="s">
        <v>382</v>
      </c>
      <c r="D73" s="23"/>
      <c r="E73" s="23"/>
      <c r="F73" s="23"/>
      <c r="G73" s="23"/>
      <c r="H73" s="23">
        <v>112.92</v>
      </c>
      <c r="I73" s="27"/>
      <c r="J73" s="24">
        <f t="shared" si="6"/>
        <v>48681.16</v>
      </c>
      <c r="K73" s="24">
        <f t="shared" si="7"/>
        <v>20303.680000000004</v>
      </c>
    </row>
    <row r="74" spans="2:11" x14ac:dyDescent="0.25">
      <c r="B74" s="31">
        <v>42481</v>
      </c>
      <c r="C74" s="21" t="s">
        <v>383</v>
      </c>
      <c r="D74" s="23"/>
      <c r="E74" s="23"/>
      <c r="F74" s="23"/>
      <c r="G74" s="23"/>
      <c r="H74" s="23">
        <v>5</v>
      </c>
      <c r="I74" s="27"/>
      <c r="J74" s="24">
        <f t="shared" si="6"/>
        <v>48681.16</v>
      </c>
      <c r="K74" s="24">
        <f t="shared" si="7"/>
        <v>20298.680000000004</v>
      </c>
    </row>
    <row r="75" spans="2:11" x14ac:dyDescent="0.25">
      <c r="B75" s="31">
        <v>42482</v>
      </c>
      <c r="C75" s="21" t="s">
        <v>384</v>
      </c>
      <c r="D75" s="23"/>
      <c r="E75" s="23"/>
      <c r="F75" s="23"/>
      <c r="G75" s="23"/>
      <c r="H75" s="23">
        <v>1000</v>
      </c>
      <c r="I75" s="27"/>
      <c r="J75" s="24">
        <f t="shared" si="6"/>
        <v>48681.16</v>
      </c>
      <c r="K75" s="24">
        <f t="shared" si="7"/>
        <v>19298.680000000004</v>
      </c>
    </row>
    <row r="76" spans="2:11" x14ac:dyDescent="0.25">
      <c r="B76" s="31">
        <v>42482</v>
      </c>
      <c r="C76" s="21" t="s">
        <v>385</v>
      </c>
      <c r="D76" s="23"/>
      <c r="E76" s="23"/>
      <c r="F76" s="23"/>
      <c r="G76" s="23"/>
      <c r="H76" s="23">
        <v>142</v>
      </c>
      <c r="I76" s="27"/>
      <c r="J76" s="24">
        <f t="shared" si="6"/>
        <v>48681.16</v>
      </c>
      <c r="K76" s="24">
        <f t="shared" si="7"/>
        <v>19156.680000000004</v>
      </c>
    </row>
    <row r="77" spans="2:11" x14ac:dyDescent="0.25">
      <c r="B77" s="31">
        <v>42484</v>
      </c>
      <c r="C77" s="21" t="s">
        <v>371</v>
      </c>
      <c r="D77" s="23"/>
      <c r="E77" s="23"/>
      <c r="F77" s="23"/>
      <c r="G77" s="23"/>
      <c r="H77" s="23">
        <v>48</v>
      </c>
      <c r="I77" s="27"/>
      <c r="J77" s="24">
        <f t="shared" si="6"/>
        <v>48681.16</v>
      </c>
      <c r="K77" s="24">
        <f t="shared" si="7"/>
        <v>19108.680000000004</v>
      </c>
    </row>
    <row r="78" spans="2:11" x14ac:dyDescent="0.25">
      <c r="B78" s="31">
        <v>42484</v>
      </c>
      <c r="C78" s="21" t="s">
        <v>386</v>
      </c>
      <c r="D78" s="23"/>
      <c r="E78" s="23"/>
      <c r="F78" s="23"/>
      <c r="G78" s="23"/>
      <c r="H78" s="23">
        <v>100</v>
      </c>
      <c r="I78" s="27"/>
      <c r="J78" s="24">
        <f t="shared" si="6"/>
        <v>48681.16</v>
      </c>
      <c r="K78" s="24">
        <f t="shared" si="7"/>
        <v>19008.680000000004</v>
      </c>
    </row>
    <row r="79" spans="2:11" x14ac:dyDescent="0.25">
      <c r="B79" s="31">
        <v>42484</v>
      </c>
      <c r="C79" s="21" t="s">
        <v>387</v>
      </c>
      <c r="D79" s="23"/>
      <c r="E79" s="23"/>
      <c r="F79" s="23"/>
      <c r="G79" s="23"/>
      <c r="H79" s="23">
        <v>111</v>
      </c>
      <c r="I79" s="27"/>
      <c r="J79" s="24">
        <f t="shared" si="6"/>
        <v>48681.16</v>
      </c>
      <c r="K79" s="24">
        <f t="shared" si="7"/>
        <v>18897.680000000004</v>
      </c>
    </row>
    <row r="80" spans="2:11" x14ac:dyDescent="0.25">
      <c r="B80" s="31">
        <v>42485</v>
      </c>
      <c r="C80" s="21" t="s">
        <v>407</v>
      </c>
      <c r="D80" s="23">
        <v>18220</v>
      </c>
      <c r="E80" s="23"/>
      <c r="F80" s="23"/>
      <c r="G80" s="23"/>
      <c r="H80" s="23"/>
      <c r="I80" s="27"/>
      <c r="J80" s="24">
        <f t="shared" si="6"/>
        <v>48681.16</v>
      </c>
      <c r="K80" s="24">
        <f t="shared" si="7"/>
        <v>37117.680000000008</v>
      </c>
    </row>
    <row r="81" spans="2:12" x14ac:dyDescent="0.25">
      <c r="B81" s="31">
        <v>42485</v>
      </c>
      <c r="C81" s="21" t="s">
        <v>17</v>
      </c>
      <c r="D81" s="23"/>
      <c r="E81" s="23"/>
      <c r="F81" s="23"/>
      <c r="G81" s="23"/>
      <c r="H81" s="23">
        <v>110</v>
      </c>
      <c r="I81" s="27">
        <v>118581.35099999998</v>
      </c>
      <c r="J81" s="24">
        <f t="shared" si="6"/>
        <v>48681.16</v>
      </c>
      <c r="K81" s="24">
        <f t="shared" si="7"/>
        <v>37007.680000000008</v>
      </c>
    </row>
    <row r="82" spans="2:12" x14ac:dyDescent="0.25">
      <c r="B82" s="31">
        <v>42485</v>
      </c>
      <c r="C82" s="21" t="s">
        <v>388</v>
      </c>
      <c r="D82" s="23"/>
      <c r="E82" s="23"/>
      <c r="F82" s="23"/>
      <c r="G82" s="23"/>
      <c r="H82" s="23">
        <v>149.19999999999999</v>
      </c>
      <c r="I82" s="27"/>
      <c r="J82" s="24">
        <f t="shared" si="6"/>
        <v>48681.16</v>
      </c>
      <c r="K82" s="24">
        <f t="shared" si="7"/>
        <v>36858.48000000001</v>
      </c>
      <c r="L82" s="1">
        <f>SUM(H2:H41)</f>
        <v>5114.45</v>
      </c>
    </row>
    <row r="83" spans="2:12" x14ac:dyDescent="0.25">
      <c r="B83" s="31">
        <v>42486</v>
      </c>
      <c r="C83" s="21" t="s">
        <v>480</v>
      </c>
      <c r="D83" s="23"/>
      <c r="E83" s="23">
        <v>12760</v>
      </c>
      <c r="F83" s="23"/>
      <c r="G83" s="23"/>
      <c r="H83" s="23"/>
      <c r="I83" s="27"/>
      <c r="J83" s="24">
        <f t="shared" si="6"/>
        <v>61441.16</v>
      </c>
      <c r="K83" s="24">
        <f t="shared" si="7"/>
        <v>36858.48000000001</v>
      </c>
    </row>
    <row r="84" spans="2:12" x14ac:dyDescent="0.25">
      <c r="B84" s="31">
        <v>42486</v>
      </c>
      <c r="C84" s="21" t="s">
        <v>390</v>
      </c>
      <c r="D84" s="23"/>
      <c r="E84" s="23">
        <v>1200</v>
      </c>
      <c r="F84" s="23"/>
      <c r="G84" s="23"/>
      <c r="H84" s="23"/>
      <c r="I84" s="27"/>
      <c r="J84" s="24">
        <f t="shared" si="6"/>
        <v>62641.16</v>
      </c>
      <c r="K84" s="24">
        <f t="shared" si="7"/>
        <v>36858.48000000001</v>
      </c>
    </row>
    <row r="85" spans="2:12" x14ac:dyDescent="0.25">
      <c r="B85" s="31">
        <v>42486</v>
      </c>
      <c r="C85" s="21" t="s">
        <v>389</v>
      </c>
      <c r="D85" s="23"/>
      <c r="E85" s="23">
        <v>1600</v>
      </c>
      <c r="F85" s="23"/>
      <c r="G85" s="23"/>
      <c r="H85" s="23"/>
      <c r="I85" s="27"/>
      <c r="J85" s="24">
        <f t="shared" si="6"/>
        <v>64241.16</v>
      </c>
      <c r="K85" s="24">
        <f t="shared" si="7"/>
        <v>36858.48000000001</v>
      </c>
    </row>
    <row r="86" spans="2:12" ht="15.75" thickBot="1" x14ac:dyDescent="0.3">
      <c r="B86" s="31">
        <v>42486</v>
      </c>
      <c r="C86" s="21" t="s">
        <v>391</v>
      </c>
      <c r="D86" s="23"/>
      <c r="E86" s="23"/>
      <c r="F86" s="23"/>
      <c r="G86" s="23">
        <v>600</v>
      </c>
      <c r="H86" s="23"/>
      <c r="I86" s="27"/>
      <c r="J86" s="24">
        <f t="shared" si="6"/>
        <v>63641.16</v>
      </c>
      <c r="K86" s="24">
        <f t="shared" si="7"/>
        <v>36858.48000000001</v>
      </c>
    </row>
    <row r="87" spans="2:12" ht="15.75" thickBot="1" x14ac:dyDescent="0.3">
      <c r="B87" s="13"/>
      <c r="C87" s="16" t="s">
        <v>0</v>
      </c>
      <c r="D87" s="105">
        <f>SUM(D48:D86)</f>
        <v>81055</v>
      </c>
      <c r="E87" s="103">
        <f>SUM(E48:E86)</f>
        <v>28620</v>
      </c>
      <c r="F87" s="114">
        <f>SUM(D87:E87)</f>
        <v>109675</v>
      </c>
      <c r="G87" s="114">
        <f>SUM(G48:G86)</f>
        <v>37984</v>
      </c>
      <c r="H87" s="105">
        <f>SUM(H48:H86)</f>
        <v>46340.069999999992</v>
      </c>
      <c r="I87" s="114">
        <f>SUM(G87:H87)</f>
        <v>84324.069999999992</v>
      </c>
      <c r="J87" s="33"/>
      <c r="K87" s="33"/>
    </row>
    <row r="88" spans="2:12" x14ac:dyDescent="0.25">
      <c r="D88" s="1"/>
      <c r="E88" s="1"/>
      <c r="F88" s="1"/>
      <c r="G88" s="1"/>
      <c r="J88" s="1"/>
    </row>
    <row r="89" spans="2:12" ht="15.75" x14ac:dyDescent="0.25">
      <c r="B89" s="45">
        <v>42490</v>
      </c>
      <c r="J89" s="115" t="s">
        <v>422</v>
      </c>
      <c r="K89" s="79"/>
    </row>
    <row r="90" spans="2:12" ht="15.75" thickBot="1" x14ac:dyDescent="0.3">
      <c r="B90" s="154" t="s">
        <v>12</v>
      </c>
      <c r="C90" s="154"/>
      <c r="D90" s="154"/>
      <c r="E90" s="154"/>
      <c r="F90" s="154"/>
      <c r="G90" s="154"/>
      <c r="H90" s="154"/>
      <c r="I90" s="154"/>
      <c r="J90" s="154"/>
      <c r="K90" s="154"/>
    </row>
    <row r="91" spans="2:12" x14ac:dyDescent="0.25">
      <c r="B91" s="111" t="s">
        <v>1</v>
      </c>
      <c r="C91" s="111" t="s">
        <v>2</v>
      </c>
      <c r="D91" s="111" t="s">
        <v>3</v>
      </c>
      <c r="E91" s="111" t="s">
        <v>3</v>
      </c>
      <c r="F91" s="111" t="s">
        <v>323</v>
      </c>
      <c r="G91" s="111" t="s">
        <v>324</v>
      </c>
      <c r="H91" s="81" t="s">
        <v>324</v>
      </c>
      <c r="I91" s="81" t="s">
        <v>323</v>
      </c>
      <c r="J91" s="111" t="s">
        <v>174</v>
      </c>
      <c r="K91" s="81" t="s">
        <v>173</v>
      </c>
    </row>
    <row r="92" spans="2:12" ht="15.75" thickBot="1" x14ac:dyDescent="0.3">
      <c r="B92" s="112"/>
      <c r="C92" s="112"/>
      <c r="D92" s="112" t="s">
        <v>6</v>
      </c>
      <c r="E92" s="112" t="s">
        <v>325</v>
      </c>
      <c r="F92" s="112" t="s">
        <v>3</v>
      </c>
      <c r="G92" s="112" t="s">
        <v>325</v>
      </c>
      <c r="H92" s="113" t="s">
        <v>6</v>
      </c>
      <c r="I92" s="113" t="s">
        <v>5</v>
      </c>
      <c r="J92" s="112"/>
      <c r="K92" s="113"/>
    </row>
    <row r="93" spans="2:12" ht="15.75" thickBot="1" x14ac:dyDescent="0.3">
      <c r="B93" s="47"/>
      <c r="C93" s="119" t="s">
        <v>0</v>
      </c>
      <c r="D93" s="120">
        <v>81055</v>
      </c>
      <c r="E93" s="120">
        <v>28620</v>
      </c>
      <c r="F93" s="120">
        <f>SUM(D93:E93)</f>
        <v>109675</v>
      </c>
      <c r="G93" s="120">
        <v>37984</v>
      </c>
      <c r="H93" s="105">
        <v>46340.07</v>
      </c>
      <c r="I93" s="105">
        <f>SUM(G93:H93)</f>
        <v>84324.07</v>
      </c>
      <c r="J93" s="105">
        <v>63841.16</v>
      </c>
      <c r="K93" s="33">
        <v>36658.480000000003</v>
      </c>
    </row>
    <row r="94" spans="2:12" x14ac:dyDescent="0.25">
      <c r="B94" s="31">
        <v>42486</v>
      </c>
      <c r="C94" s="21" t="s">
        <v>392</v>
      </c>
      <c r="D94" s="23"/>
      <c r="E94" s="23"/>
      <c r="F94" s="23"/>
      <c r="G94" s="23">
        <v>1468</v>
      </c>
      <c r="H94" s="23"/>
      <c r="I94" s="27"/>
      <c r="J94" s="24">
        <f>+J93+E94-G94</f>
        <v>62373.16</v>
      </c>
      <c r="K94" s="24">
        <f>+K93+D94-H94</f>
        <v>36658.480000000003</v>
      </c>
    </row>
    <row r="95" spans="2:12" x14ac:dyDescent="0.25">
      <c r="B95" s="31">
        <v>42486</v>
      </c>
      <c r="C95" s="21" t="s">
        <v>393</v>
      </c>
      <c r="D95" s="23"/>
      <c r="E95" s="23"/>
      <c r="F95" s="23"/>
      <c r="G95" s="23"/>
      <c r="H95" s="23">
        <v>350</v>
      </c>
      <c r="I95" s="27"/>
      <c r="J95" s="24">
        <f>+J94+E95-G95</f>
        <v>62373.16</v>
      </c>
      <c r="K95" s="24">
        <f>+K94+D95-H95</f>
        <v>36308.480000000003</v>
      </c>
    </row>
    <row r="96" spans="2:12" x14ac:dyDescent="0.25">
      <c r="B96" s="31">
        <v>42486</v>
      </c>
      <c r="C96" s="21" t="s">
        <v>394</v>
      </c>
      <c r="D96" s="23"/>
      <c r="E96" s="23"/>
      <c r="F96" s="23"/>
      <c r="G96" s="23"/>
      <c r="H96" s="23">
        <v>180</v>
      </c>
      <c r="I96" s="27"/>
      <c r="J96" s="24">
        <f t="shared" ref="J96:J123" si="8">+J95+E96-G96</f>
        <v>62373.16</v>
      </c>
      <c r="K96" s="24">
        <f t="shared" ref="K96:K123" si="9">+K95+D96-H96</f>
        <v>36128.480000000003</v>
      </c>
    </row>
    <row r="97" spans="2:11" x14ac:dyDescent="0.25">
      <c r="B97" s="31">
        <v>42486</v>
      </c>
      <c r="C97" s="21" t="s">
        <v>395</v>
      </c>
      <c r="D97" s="23"/>
      <c r="E97" s="23"/>
      <c r="F97" s="23"/>
      <c r="G97" s="23"/>
      <c r="H97" s="23">
        <v>15</v>
      </c>
      <c r="I97" s="27"/>
      <c r="J97" s="24">
        <f>+J96+E97-G97</f>
        <v>62373.16</v>
      </c>
      <c r="K97" s="24">
        <f>+K96+D97-H97</f>
        <v>36113.480000000003</v>
      </c>
    </row>
    <row r="98" spans="2:11" x14ac:dyDescent="0.25">
      <c r="B98" s="36">
        <v>42486</v>
      </c>
      <c r="C98" s="118" t="s">
        <v>396</v>
      </c>
      <c r="D98" s="23"/>
      <c r="E98" s="23"/>
      <c r="F98" s="23"/>
      <c r="G98" s="23"/>
      <c r="H98" s="23">
        <v>21.5</v>
      </c>
      <c r="I98" s="27"/>
      <c r="J98" s="24">
        <f t="shared" si="8"/>
        <v>62373.16</v>
      </c>
      <c r="K98" s="24">
        <f t="shared" si="9"/>
        <v>36091.980000000003</v>
      </c>
    </row>
    <row r="99" spans="2:11" x14ac:dyDescent="0.25">
      <c r="B99" s="31">
        <v>42486</v>
      </c>
      <c r="C99" s="21" t="s">
        <v>397</v>
      </c>
      <c r="D99" s="23"/>
      <c r="E99" s="23"/>
      <c r="F99" s="23"/>
      <c r="G99" s="23"/>
      <c r="H99" s="23">
        <v>600</v>
      </c>
      <c r="I99" s="27"/>
      <c r="J99" s="24">
        <f t="shared" si="8"/>
        <v>62373.16</v>
      </c>
      <c r="K99" s="24">
        <f t="shared" si="9"/>
        <v>35491.980000000003</v>
      </c>
    </row>
    <row r="100" spans="2:11" x14ac:dyDescent="0.25">
      <c r="B100" s="31">
        <v>42486</v>
      </c>
      <c r="C100" s="21" t="s">
        <v>398</v>
      </c>
      <c r="D100" s="23"/>
      <c r="E100" s="23"/>
      <c r="F100" s="23"/>
      <c r="G100" s="23"/>
      <c r="H100" s="23">
        <v>350</v>
      </c>
      <c r="I100" s="27"/>
      <c r="J100" s="24">
        <f t="shared" si="8"/>
        <v>62373.16</v>
      </c>
      <c r="K100" s="24">
        <f t="shared" si="9"/>
        <v>35141.980000000003</v>
      </c>
    </row>
    <row r="101" spans="2:11" x14ac:dyDescent="0.25">
      <c r="B101" s="31">
        <v>42488</v>
      </c>
      <c r="C101" s="21" t="s">
        <v>399</v>
      </c>
      <c r="D101" s="23"/>
      <c r="E101" s="23"/>
      <c r="F101" s="23"/>
      <c r="G101" s="23"/>
      <c r="H101" s="23">
        <v>95.6</v>
      </c>
      <c r="I101" s="27"/>
      <c r="J101" s="24">
        <f t="shared" si="8"/>
        <v>62373.16</v>
      </c>
      <c r="K101" s="24">
        <f t="shared" si="9"/>
        <v>35046.380000000005</v>
      </c>
    </row>
    <row r="102" spans="2:11" x14ac:dyDescent="0.25">
      <c r="B102" s="31">
        <v>42488</v>
      </c>
      <c r="C102" s="25" t="s">
        <v>400</v>
      </c>
      <c r="D102" s="23"/>
      <c r="E102" s="23"/>
      <c r="F102" s="23"/>
      <c r="G102" s="23"/>
      <c r="H102" s="23">
        <v>263.2</v>
      </c>
      <c r="I102" s="27"/>
      <c r="J102" s="24">
        <f t="shared" si="8"/>
        <v>62373.16</v>
      </c>
      <c r="K102" s="24">
        <f t="shared" si="9"/>
        <v>34783.180000000008</v>
      </c>
    </row>
    <row r="103" spans="2:11" x14ac:dyDescent="0.25">
      <c r="B103" s="31">
        <v>42488</v>
      </c>
      <c r="C103" s="25" t="s">
        <v>403</v>
      </c>
      <c r="D103" s="23"/>
      <c r="E103" s="23"/>
      <c r="F103" s="23"/>
      <c r="G103" s="23"/>
      <c r="H103" s="23">
        <v>32</v>
      </c>
      <c r="I103" s="27"/>
      <c r="J103" s="24">
        <f t="shared" si="8"/>
        <v>62373.16</v>
      </c>
      <c r="K103" s="24">
        <f t="shared" si="9"/>
        <v>34751.180000000008</v>
      </c>
    </row>
    <row r="104" spans="2:11" x14ac:dyDescent="0.25">
      <c r="B104" s="31">
        <v>42488</v>
      </c>
      <c r="C104" s="25" t="s">
        <v>401</v>
      </c>
      <c r="D104" s="23"/>
      <c r="E104" s="23"/>
      <c r="F104" s="23"/>
      <c r="G104" s="23"/>
      <c r="H104" s="23">
        <v>20</v>
      </c>
      <c r="I104" s="27"/>
      <c r="J104" s="24">
        <f t="shared" si="8"/>
        <v>62373.16</v>
      </c>
      <c r="K104" s="24">
        <f t="shared" si="9"/>
        <v>34731.180000000008</v>
      </c>
    </row>
    <row r="105" spans="2:11" x14ac:dyDescent="0.25">
      <c r="B105" s="31">
        <v>42488</v>
      </c>
      <c r="C105" s="21" t="s">
        <v>402</v>
      </c>
      <c r="D105" s="23"/>
      <c r="E105" s="23"/>
      <c r="F105" s="23"/>
      <c r="G105" s="23"/>
      <c r="H105" s="23">
        <v>400</v>
      </c>
      <c r="I105" s="27"/>
      <c r="J105" s="24">
        <f t="shared" si="8"/>
        <v>62373.16</v>
      </c>
      <c r="K105" s="24">
        <f t="shared" si="9"/>
        <v>34331.180000000008</v>
      </c>
    </row>
    <row r="106" spans="2:11" x14ac:dyDescent="0.25">
      <c r="B106" s="31">
        <v>42488</v>
      </c>
      <c r="C106" s="21" t="s">
        <v>404</v>
      </c>
      <c r="D106" s="23"/>
      <c r="E106" s="23"/>
      <c r="F106" s="23"/>
      <c r="G106" s="23"/>
      <c r="H106" s="23">
        <v>140</v>
      </c>
      <c r="I106" s="27"/>
      <c r="J106" s="24">
        <f t="shared" si="8"/>
        <v>62373.16</v>
      </c>
      <c r="K106" s="24">
        <f t="shared" si="9"/>
        <v>34191.180000000008</v>
      </c>
    </row>
    <row r="107" spans="2:11" x14ac:dyDescent="0.25">
      <c r="B107" s="31">
        <v>42488</v>
      </c>
      <c r="C107" s="21" t="s">
        <v>405</v>
      </c>
      <c r="D107" s="23"/>
      <c r="E107" s="23"/>
      <c r="F107" s="23"/>
      <c r="G107" s="23"/>
      <c r="H107" s="23">
        <v>500</v>
      </c>
      <c r="I107" s="27"/>
      <c r="J107" s="24">
        <f t="shared" si="8"/>
        <v>62373.16</v>
      </c>
      <c r="K107" s="24">
        <f t="shared" si="9"/>
        <v>33691.180000000008</v>
      </c>
    </row>
    <row r="108" spans="2:11" x14ac:dyDescent="0.25">
      <c r="B108" s="31">
        <v>42489</v>
      </c>
      <c r="C108" s="122" t="s">
        <v>516</v>
      </c>
      <c r="D108" s="23"/>
      <c r="E108" s="23">
        <v>400</v>
      </c>
      <c r="F108" s="23"/>
      <c r="G108" s="23"/>
      <c r="H108" s="23"/>
      <c r="I108" s="27"/>
      <c r="J108" s="24">
        <f t="shared" si="8"/>
        <v>62773.16</v>
      </c>
      <c r="K108" s="24">
        <f t="shared" si="9"/>
        <v>33691.180000000008</v>
      </c>
    </row>
    <row r="109" spans="2:11" x14ac:dyDescent="0.25">
      <c r="B109" s="31">
        <v>42489</v>
      </c>
      <c r="C109" s="21" t="s">
        <v>406</v>
      </c>
      <c r="D109" s="23"/>
      <c r="E109" s="23"/>
      <c r="F109" s="23"/>
      <c r="G109" s="23">
        <v>84</v>
      </c>
      <c r="H109" s="23"/>
      <c r="I109" s="27"/>
      <c r="J109" s="24">
        <f t="shared" si="8"/>
        <v>62689.16</v>
      </c>
      <c r="K109" s="24">
        <f t="shared" si="9"/>
        <v>33691.180000000008</v>
      </c>
    </row>
    <row r="110" spans="2:11" x14ac:dyDescent="0.25">
      <c r="B110" s="31">
        <v>42489</v>
      </c>
      <c r="C110" s="21" t="s">
        <v>408</v>
      </c>
      <c r="D110" s="23"/>
      <c r="E110" s="23"/>
      <c r="F110" s="23"/>
      <c r="G110" s="23">
        <v>13.44</v>
      </c>
      <c r="H110" s="23"/>
      <c r="I110" s="27"/>
      <c r="J110" s="24">
        <f t="shared" si="8"/>
        <v>62675.72</v>
      </c>
      <c r="K110" s="24">
        <f t="shared" si="9"/>
        <v>33691.180000000008</v>
      </c>
    </row>
    <row r="111" spans="2:11" x14ac:dyDescent="0.25">
      <c r="B111" s="31">
        <v>42480</v>
      </c>
      <c r="C111" s="46" t="s">
        <v>409</v>
      </c>
      <c r="D111" s="23"/>
      <c r="E111" s="23">
        <v>0.46</v>
      </c>
      <c r="F111" s="23"/>
      <c r="G111" s="23"/>
      <c r="H111" s="23"/>
      <c r="I111" s="27"/>
      <c r="J111" s="24">
        <f t="shared" si="8"/>
        <v>62676.18</v>
      </c>
      <c r="K111" s="24">
        <f t="shared" si="9"/>
        <v>33691.180000000008</v>
      </c>
    </row>
    <row r="112" spans="2:11" x14ac:dyDescent="0.25">
      <c r="B112" s="31">
        <v>42489</v>
      </c>
      <c r="C112" s="21" t="s">
        <v>410</v>
      </c>
      <c r="D112" s="23"/>
      <c r="E112" s="23"/>
      <c r="F112" s="23"/>
      <c r="G112" s="23"/>
      <c r="H112" s="23">
        <v>1000</v>
      </c>
      <c r="I112" s="27"/>
      <c r="J112" s="24">
        <f t="shared" si="8"/>
        <v>62676.18</v>
      </c>
      <c r="K112" s="24">
        <f t="shared" si="9"/>
        <v>32691.180000000008</v>
      </c>
    </row>
    <row r="113" spans="2:14" x14ac:dyDescent="0.25">
      <c r="B113" s="31">
        <v>42489</v>
      </c>
      <c r="C113" s="21" t="s">
        <v>411</v>
      </c>
      <c r="D113" s="23"/>
      <c r="E113" s="23"/>
      <c r="F113" s="23"/>
      <c r="G113" s="23"/>
      <c r="H113" s="23">
        <v>175</v>
      </c>
      <c r="I113" s="27"/>
      <c r="J113" s="24">
        <f t="shared" si="8"/>
        <v>62676.18</v>
      </c>
      <c r="K113" s="24">
        <f t="shared" si="9"/>
        <v>32516.180000000008</v>
      </c>
    </row>
    <row r="114" spans="2:14" x14ac:dyDescent="0.25">
      <c r="B114" s="31">
        <v>42490</v>
      </c>
      <c r="C114" s="21" t="s">
        <v>412</v>
      </c>
      <c r="D114" s="23"/>
      <c r="E114" s="23"/>
      <c r="F114" s="23"/>
      <c r="G114" s="23"/>
      <c r="H114" s="23">
        <v>100</v>
      </c>
      <c r="I114" s="27"/>
      <c r="J114" s="24">
        <f t="shared" si="8"/>
        <v>62676.18</v>
      </c>
      <c r="K114" s="24">
        <f t="shared" si="9"/>
        <v>32416.180000000008</v>
      </c>
    </row>
    <row r="115" spans="2:14" x14ac:dyDescent="0.25">
      <c r="B115" s="31">
        <v>42490</v>
      </c>
      <c r="C115" s="62" t="s">
        <v>413</v>
      </c>
      <c r="D115" s="23"/>
      <c r="E115" s="23"/>
      <c r="F115" s="23"/>
      <c r="G115" s="23"/>
      <c r="H115" s="23">
        <v>450</v>
      </c>
      <c r="I115" s="27"/>
      <c r="J115" s="24">
        <f t="shared" si="8"/>
        <v>62676.18</v>
      </c>
      <c r="K115" s="24">
        <f t="shared" si="9"/>
        <v>31966.180000000008</v>
      </c>
    </row>
    <row r="116" spans="2:14" x14ac:dyDescent="0.25">
      <c r="B116" s="31">
        <v>42490</v>
      </c>
      <c r="C116" s="60" t="s">
        <v>414</v>
      </c>
      <c r="D116" s="23"/>
      <c r="E116" s="23"/>
      <c r="F116" s="23"/>
      <c r="G116" s="23"/>
      <c r="H116" s="23">
        <v>650</v>
      </c>
      <c r="I116" s="27"/>
      <c r="J116" s="24">
        <f t="shared" si="8"/>
        <v>62676.18</v>
      </c>
      <c r="K116" s="24">
        <f t="shared" si="9"/>
        <v>31316.180000000008</v>
      </c>
    </row>
    <row r="117" spans="2:14" x14ac:dyDescent="0.25">
      <c r="B117" s="31">
        <v>42490</v>
      </c>
      <c r="C117" s="46" t="s">
        <v>351</v>
      </c>
      <c r="D117" s="23"/>
      <c r="E117" s="23"/>
      <c r="F117" s="23"/>
      <c r="G117" s="23"/>
      <c r="H117" s="23">
        <v>100</v>
      </c>
      <c r="I117" s="27"/>
      <c r="J117" s="24">
        <f t="shared" si="8"/>
        <v>62676.18</v>
      </c>
      <c r="K117" s="24">
        <f t="shared" si="9"/>
        <v>31216.180000000008</v>
      </c>
    </row>
    <row r="118" spans="2:14" x14ac:dyDescent="0.25">
      <c r="B118" s="31">
        <v>42490</v>
      </c>
      <c r="C118" s="21" t="s">
        <v>415</v>
      </c>
      <c r="D118" s="23"/>
      <c r="E118" s="23"/>
      <c r="F118" s="23"/>
      <c r="G118" s="23"/>
      <c r="H118" s="23">
        <v>200</v>
      </c>
      <c r="I118" s="27"/>
      <c r="J118" s="24">
        <f t="shared" si="8"/>
        <v>62676.18</v>
      </c>
      <c r="K118" s="24">
        <f t="shared" si="9"/>
        <v>31016.180000000008</v>
      </c>
    </row>
    <row r="119" spans="2:14" x14ac:dyDescent="0.25">
      <c r="B119" s="31">
        <v>42490</v>
      </c>
      <c r="C119" s="21" t="s">
        <v>416</v>
      </c>
      <c r="D119" s="23"/>
      <c r="E119" s="23"/>
      <c r="F119" s="23"/>
      <c r="G119" s="23"/>
      <c r="H119" s="23">
        <v>350</v>
      </c>
      <c r="I119" s="27"/>
      <c r="J119" s="24">
        <f t="shared" si="8"/>
        <v>62676.18</v>
      </c>
      <c r="K119" s="24">
        <f t="shared" si="9"/>
        <v>30666.180000000008</v>
      </c>
    </row>
    <row r="120" spans="2:14" x14ac:dyDescent="0.25">
      <c r="B120" s="31">
        <v>42490</v>
      </c>
      <c r="C120" s="25" t="s">
        <v>417</v>
      </c>
      <c r="D120" s="73"/>
      <c r="E120" s="73"/>
      <c r="F120" s="73"/>
      <c r="G120" s="73"/>
      <c r="H120" s="23">
        <v>2700</v>
      </c>
      <c r="I120" s="27"/>
      <c r="J120" s="24">
        <f t="shared" si="8"/>
        <v>62676.18</v>
      </c>
      <c r="K120" s="24">
        <f t="shared" si="9"/>
        <v>27966.180000000008</v>
      </c>
    </row>
    <row r="121" spans="2:14" x14ac:dyDescent="0.25">
      <c r="B121" s="31">
        <v>42490</v>
      </c>
      <c r="C121" s="25" t="s">
        <v>418</v>
      </c>
      <c r="D121" s="73"/>
      <c r="E121" s="73"/>
      <c r="F121" s="73"/>
      <c r="G121" s="28"/>
      <c r="H121" s="23">
        <v>20000</v>
      </c>
      <c r="I121" s="27"/>
      <c r="J121" s="24">
        <f t="shared" si="8"/>
        <v>62676.18</v>
      </c>
      <c r="K121" s="24">
        <f t="shared" si="9"/>
        <v>7966.1800000000076</v>
      </c>
    </row>
    <row r="122" spans="2:14" x14ac:dyDescent="0.25">
      <c r="B122" s="31">
        <v>42490</v>
      </c>
      <c r="C122" s="25" t="s">
        <v>368</v>
      </c>
      <c r="D122" s="73"/>
      <c r="E122" s="73"/>
      <c r="F122" s="73"/>
      <c r="G122" s="73"/>
      <c r="H122" s="23">
        <v>4000</v>
      </c>
      <c r="I122" s="27"/>
      <c r="J122" s="24">
        <f t="shared" si="8"/>
        <v>62676.18</v>
      </c>
      <c r="K122" s="24">
        <f t="shared" si="9"/>
        <v>3966.1800000000076</v>
      </c>
    </row>
    <row r="123" spans="2:14" ht="15.75" thickBot="1" x14ac:dyDescent="0.3">
      <c r="B123" s="31"/>
      <c r="C123" s="21"/>
      <c r="D123" s="23"/>
      <c r="E123" s="23"/>
      <c r="F123" s="23"/>
      <c r="G123" s="23"/>
      <c r="H123" s="23"/>
      <c r="I123" s="27"/>
      <c r="J123" s="24">
        <f t="shared" si="8"/>
        <v>62676.18</v>
      </c>
      <c r="K123" s="24">
        <f t="shared" si="9"/>
        <v>3966.1800000000076</v>
      </c>
    </row>
    <row r="124" spans="2:14" ht="15.75" thickBot="1" x14ac:dyDescent="0.3">
      <c r="B124" s="13"/>
      <c r="C124" s="16" t="s">
        <v>0</v>
      </c>
      <c r="D124" s="105">
        <f>SUM(D93:D123)</f>
        <v>81055</v>
      </c>
      <c r="E124" s="103">
        <f>SUM(E93:E123)</f>
        <v>29020.46</v>
      </c>
      <c r="F124" s="114">
        <f>SUM(D124:E124)</f>
        <v>110075.45999999999</v>
      </c>
      <c r="G124" s="114">
        <f>SUM(G93:G123)</f>
        <v>39549.440000000002</v>
      </c>
      <c r="H124" s="105">
        <f>SUM(H93:H123)</f>
        <v>79032.37</v>
      </c>
      <c r="I124" s="114">
        <f>SUM(G124:H124)</f>
        <v>118581.81</v>
      </c>
      <c r="J124" s="33"/>
      <c r="K124" s="33"/>
    </row>
    <row r="125" spans="2:14" x14ac:dyDescent="0.25">
      <c r="D125" s="1"/>
      <c r="E125" s="1"/>
      <c r="F125" s="1"/>
      <c r="G125" s="1"/>
      <c r="J125" s="1"/>
    </row>
    <row r="126" spans="2:14" x14ac:dyDescent="0.25">
      <c r="B126" s="121"/>
      <c r="C126" t="s">
        <v>423</v>
      </c>
      <c r="D126" s="1"/>
      <c r="E126" s="123" t="s">
        <v>433</v>
      </c>
      <c r="F126" s="1">
        <v>106555</v>
      </c>
      <c r="G126" s="1"/>
      <c r="I126" s="1">
        <v>118581.35099999998</v>
      </c>
      <c r="J126" s="1"/>
    </row>
    <row r="127" spans="2:14" x14ac:dyDescent="0.25">
      <c r="D127" s="1"/>
      <c r="E127" s="123" t="s">
        <v>434</v>
      </c>
      <c r="F127" s="1">
        <f>F126-F124</f>
        <v>-3520.4599999999919</v>
      </c>
      <c r="G127" s="1"/>
      <c r="I127" s="1">
        <f>I126-I124</f>
        <v>-0.45900000001711305</v>
      </c>
      <c r="J127" s="1"/>
      <c r="M127">
        <v>2800</v>
      </c>
    </row>
    <row r="128" spans="2:14" x14ac:dyDescent="0.25">
      <c r="N128" s="1">
        <f>SUM(L127:M127)</f>
        <v>2800</v>
      </c>
    </row>
  </sheetData>
  <mergeCells count="3">
    <mergeCell ref="B2:K2"/>
    <mergeCell ref="B45:K45"/>
    <mergeCell ref="B90:K90"/>
  </mergeCells>
  <printOptions horizontalCentered="1"/>
  <pageMargins left="0" right="0" top="0" bottom="0" header="0.11811023622047245" footer="0.51181102362204722"/>
  <pageSetup paperSize="9" scale="84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B1:N176"/>
  <sheetViews>
    <sheetView topLeftCell="A3" zoomScaleNormal="100" workbookViewId="0">
      <pane ySplit="2" topLeftCell="A107" activePane="bottomLeft" state="frozen"/>
      <selection activeCell="A3" sqref="A3"/>
      <selection pane="bottomLeft" activeCell="D127" sqref="D127"/>
    </sheetView>
  </sheetViews>
  <sheetFormatPr baseColWidth="10" defaultRowHeight="15" x14ac:dyDescent="0.25"/>
  <cols>
    <col min="1" max="2" width="10.7109375" customWidth="1"/>
    <col min="3" max="3" width="69.28515625" customWidth="1"/>
    <col min="4" max="11" width="10.7109375" customWidth="1"/>
  </cols>
  <sheetData>
    <row r="1" spans="2:11" ht="15.75" x14ac:dyDescent="0.25">
      <c r="B1" s="45">
        <v>42520</v>
      </c>
      <c r="J1" s="115"/>
      <c r="K1" s="79"/>
    </row>
    <row r="2" spans="2:11" ht="15.75" thickBot="1" x14ac:dyDescent="0.3">
      <c r="B2" s="154" t="s">
        <v>12</v>
      </c>
      <c r="C2" s="154"/>
      <c r="D2" s="154"/>
      <c r="E2" s="154"/>
      <c r="F2" s="154"/>
      <c r="G2" s="154"/>
      <c r="H2" s="154"/>
      <c r="I2" s="154"/>
      <c r="J2" s="154"/>
      <c r="K2" s="154"/>
    </row>
    <row r="3" spans="2:11" x14ac:dyDescent="0.25">
      <c r="B3" s="111" t="s">
        <v>1</v>
      </c>
      <c r="C3" s="111" t="s">
        <v>2</v>
      </c>
      <c r="D3" s="111" t="s">
        <v>3</v>
      </c>
      <c r="E3" s="111" t="s">
        <v>3</v>
      </c>
      <c r="F3" s="111" t="s">
        <v>323</v>
      </c>
      <c r="G3" s="111" t="s">
        <v>324</v>
      </c>
      <c r="H3" s="81" t="s">
        <v>324</v>
      </c>
      <c r="I3" s="81" t="s">
        <v>323</v>
      </c>
      <c r="J3" s="111" t="s">
        <v>174</v>
      </c>
      <c r="K3" s="81" t="s">
        <v>173</v>
      </c>
    </row>
    <row r="4" spans="2:11" ht="15.75" thickBot="1" x14ac:dyDescent="0.3">
      <c r="B4" s="112"/>
      <c r="C4" s="112"/>
      <c r="D4" s="112" t="s">
        <v>6</v>
      </c>
      <c r="E4" s="112" t="s">
        <v>325</v>
      </c>
      <c r="F4" s="112" t="s">
        <v>3</v>
      </c>
      <c r="G4" s="112" t="s">
        <v>325</v>
      </c>
      <c r="H4" s="113" t="s">
        <v>6</v>
      </c>
      <c r="I4" s="113" t="s">
        <v>5</v>
      </c>
      <c r="J4" s="112"/>
      <c r="K4" s="113"/>
    </row>
    <row r="5" spans="2:11" x14ac:dyDescent="0.25">
      <c r="B5" s="36">
        <v>42490</v>
      </c>
      <c r="C5" s="108" t="s">
        <v>431</v>
      </c>
      <c r="D5" s="109"/>
      <c r="E5" s="106"/>
      <c r="F5" s="106"/>
      <c r="G5" s="106"/>
      <c r="H5" s="30"/>
      <c r="I5" s="107"/>
      <c r="J5" s="116">
        <v>62676.18</v>
      </c>
      <c r="K5" s="110">
        <v>3966.18</v>
      </c>
    </row>
    <row r="6" spans="2:11" x14ac:dyDescent="0.25">
      <c r="B6" s="36">
        <v>42491</v>
      </c>
      <c r="C6" s="21" t="s">
        <v>424</v>
      </c>
      <c r="D6" s="23"/>
      <c r="E6" s="23"/>
      <c r="F6" s="23"/>
      <c r="G6" s="23"/>
      <c r="H6" s="23">
        <v>83</v>
      </c>
      <c r="I6" s="27"/>
      <c r="J6" s="24">
        <f>+J5+E6-G6</f>
        <v>62676.18</v>
      </c>
      <c r="K6" s="24">
        <f>+K5+D6-H6</f>
        <v>3883.18</v>
      </c>
    </row>
    <row r="7" spans="2:11" x14ac:dyDescent="0.25">
      <c r="B7" s="36">
        <v>42491</v>
      </c>
      <c r="C7" s="25" t="s">
        <v>425</v>
      </c>
      <c r="D7" s="23"/>
      <c r="E7" s="23"/>
      <c r="F7" s="23"/>
      <c r="G7" s="23"/>
      <c r="H7" s="23">
        <v>91</v>
      </c>
      <c r="I7" s="27"/>
      <c r="J7" s="24">
        <f t="shared" ref="J7:J44" si="0">+J6+E7-G7</f>
        <v>62676.18</v>
      </c>
      <c r="K7" s="24">
        <f t="shared" ref="K7:K44" si="1">+K6+D7-H7</f>
        <v>3792.18</v>
      </c>
    </row>
    <row r="8" spans="2:11" x14ac:dyDescent="0.25">
      <c r="B8" s="31">
        <v>42492</v>
      </c>
      <c r="C8" s="21" t="s">
        <v>426</v>
      </c>
      <c r="D8" s="23">
        <v>29160</v>
      </c>
      <c r="E8" s="23"/>
      <c r="F8" s="23"/>
      <c r="G8" s="23"/>
      <c r="H8" s="92"/>
      <c r="I8" s="27"/>
      <c r="J8" s="24">
        <f t="shared" si="0"/>
        <v>62676.18</v>
      </c>
      <c r="K8" s="24">
        <f t="shared" si="1"/>
        <v>32952.18</v>
      </c>
    </row>
    <row r="9" spans="2:11" x14ac:dyDescent="0.25">
      <c r="B9" s="31">
        <v>42492</v>
      </c>
      <c r="C9" s="25" t="s">
        <v>427</v>
      </c>
      <c r="D9" s="23"/>
      <c r="E9" s="23"/>
      <c r="F9" s="23"/>
      <c r="G9" s="23">
        <v>9000</v>
      </c>
      <c r="H9" s="23"/>
      <c r="I9" s="27"/>
      <c r="J9" s="24">
        <f t="shared" si="0"/>
        <v>53676.18</v>
      </c>
      <c r="K9" s="24">
        <f t="shared" si="1"/>
        <v>32952.18</v>
      </c>
    </row>
    <row r="10" spans="2:11" x14ac:dyDescent="0.25">
      <c r="B10" s="31">
        <v>42492</v>
      </c>
      <c r="C10" s="21" t="s">
        <v>41</v>
      </c>
      <c r="D10" s="23"/>
      <c r="E10" s="23"/>
      <c r="F10" s="23"/>
      <c r="G10" s="23"/>
      <c r="H10" s="92">
        <v>142</v>
      </c>
      <c r="I10" s="27"/>
      <c r="J10" s="24">
        <f t="shared" si="0"/>
        <v>53676.18</v>
      </c>
      <c r="K10" s="24">
        <f t="shared" si="1"/>
        <v>32810.18</v>
      </c>
    </row>
    <row r="11" spans="2:11" x14ac:dyDescent="0.25">
      <c r="B11" s="31">
        <v>42493</v>
      </c>
      <c r="C11" s="21" t="s">
        <v>428</v>
      </c>
      <c r="D11" s="23"/>
      <c r="E11" s="23">
        <v>300.45999999999998</v>
      </c>
      <c r="F11" s="23"/>
      <c r="G11" s="23"/>
      <c r="H11" s="23"/>
      <c r="I11" s="27"/>
      <c r="J11" s="24">
        <f t="shared" si="0"/>
        <v>53976.639999999999</v>
      </c>
      <c r="K11" s="24">
        <f t="shared" si="1"/>
        <v>32810.18</v>
      </c>
    </row>
    <row r="12" spans="2:11" x14ac:dyDescent="0.25">
      <c r="B12" s="31">
        <v>42493</v>
      </c>
      <c r="C12" s="21" t="s">
        <v>429</v>
      </c>
      <c r="D12" s="23"/>
      <c r="E12" s="23"/>
      <c r="F12" s="23"/>
      <c r="G12" s="23"/>
      <c r="H12" s="23">
        <v>361</v>
      </c>
      <c r="I12" s="27"/>
      <c r="J12" s="24">
        <f t="shared" si="0"/>
        <v>53976.639999999999</v>
      </c>
      <c r="K12" s="24">
        <f t="shared" si="1"/>
        <v>32449.18</v>
      </c>
    </row>
    <row r="13" spans="2:11" x14ac:dyDescent="0.25">
      <c r="B13" s="31">
        <v>42493</v>
      </c>
      <c r="C13" s="21" t="s">
        <v>430</v>
      </c>
      <c r="D13" s="23"/>
      <c r="E13" s="23"/>
      <c r="F13" s="23"/>
      <c r="G13" s="23"/>
      <c r="H13" s="92">
        <v>5</v>
      </c>
      <c r="I13" s="27"/>
      <c r="J13" s="24">
        <f t="shared" si="0"/>
        <v>53976.639999999999</v>
      </c>
      <c r="K13" s="24">
        <f t="shared" si="1"/>
        <v>32444.18</v>
      </c>
    </row>
    <row r="14" spans="2:11" x14ac:dyDescent="0.25">
      <c r="B14" s="31">
        <v>42493</v>
      </c>
      <c r="C14" s="21" t="s">
        <v>432</v>
      </c>
      <c r="D14" s="23"/>
      <c r="E14" s="23"/>
      <c r="F14" s="23"/>
      <c r="G14" s="23"/>
      <c r="H14" s="23">
        <v>1054</v>
      </c>
      <c r="I14" s="27"/>
      <c r="J14" s="24">
        <f t="shared" si="0"/>
        <v>53976.639999999999</v>
      </c>
      <c r="K14" s="24">
        <f t="shared" si="1"/>
        <v>31390.18</v>
      </c>
    </row>
    <row r="15" spans="2:11" x14ac:dyDescent="0.25">
      <c r="B15" s="31">
        <v>42493</v>
      </c>
      <c r="C15" s="21" t="s">
        <v>435</v>
      </c>
      <c r="D15" s="23"/>
      <c r="E15" s="23"/>
      <c r="F15" s="23"/>
      <c r="G15" s="23"/>
      <c r="H15" s="92">
        <v>950</v>
      </c>
      <c r="I15" s="27"/>
      <c r="J15" s="24">
        <f t="shared" si="0"/>
        <v>53976.639999999999</v>
      </c>
      <c r="K15" s="24">
        <f t="shared" si="1"/>
        <v>30440.18</v>
      </c>
    </row>
    <row r="16" spans="2:11" x14ac:dyDescent="0.25">
      <c r="B16" s="31">
        <v>42494</v>
      </c>
      <c r="C16" s="21" t="s">
        <v>436</v>
      </c>
      <c r="D16" s="23"/>
      <c r="E16" s="23"/>
      <c r="F16" s="23"/>
      <c r="G16" s="23"/>
      <c r="H16" s="23">
        <v>799</v>
      </c>
      <c r="I16" s="27"/>
      <c r="J16" s="24">
        <f t="shared" si="0"/>
        <v>53976.639999999999</v>
      </c>
      <c r="K16" s="24">
        <f t="shared" si="1"/>
        <v>29641.18</v>
      </c>
    </row>
    <row r="17" spans="2:11" x14ac:dyDescent="0.25">
      <c r="B17" s="31">
        <v>42494</v>
      </c>
      <c r="C17" s="21" t="s">
        <v>437</v>
      </c>
      <c r="D17" s="23"/>
      <c r="E17" s="23"/>
      <c r="F17" s="23"/>
      <c r="G17" s="23"/>
      <c r="H17" s="23">
        <v>263.2</v>
      </c>
      <c r="I17" s="27"/>
      <c r="J17" s="24">
        <f t="shared" si="0"/>
        <v>53976.639999999999</v>
      </c>
      <c r="K17" s="24">
        <f t="shared" si="1"/>
        <v>29377.98</v>
      </c>
    </row>
    <row r="18" spans="2:11" x14ac:dyDescent="0.25">
      <c r="B18" s="31">
        <v>42495</v>
      </c>
      <c r="C18" s="21" t="s">
        <v>438</v>
      </c>
      <c r="D18" s="23"/>
      <c r="E18" s="23"/>
      <c r="F18" s="23"/>
      <c r="G18" s="23"/>
      <c r="H18" s="23">
        <v>1100</v>
      </c>
      <c r="I18" s="27"/>
      <c r="J18" s="24">
        <f t="shared" si="0"/>
        <v>53976.639999999999</v>
      </c>
      <c r="K18" s="24">
        <f t="shared" si="1"/>
        <v>28277.98</v>
      </c>
    </row>
    <row r="19" spans="2:11" x14ac:dyDescent="0.25">
      <c r="B19" s="31">
        <v>42495</v>
      </c>
      <c r="C19" s="21" t="s">
        <v>439</v>
      </c>
      <c r="D19" s="23"/>
      <c r="E19" s="23"/>
      <c r="F19" s="23"/>
      <c r="G19" s="23"/>
      <c r="H19" s="23">
        <v>47</v>
      </c>
      <c r="I19" s="27"/>
      <c r="J19" s="24">
        <f t="shared" si="0"/>
        <v>53976.639999999999</v>
      </c>
      <c r="K19" s="24">
        <f t="shared" si="1"/>
        <v>28230.98</v>
      </c>
    </row>
    <row r="20" spans="2:11" x14ac:dyDescent="0.25">
      <c r="B20" s="31">
        <v>42495</v>
      </c>
      <c r="C20" s="21" t="s">
        <v>440</v>
      </c>
      <c r="D20" s="23"/>
      <c r="E20" s="23"/>
      <c r="F20" s="23"/>
      <c r="G20" s="23"/>
      <c r="H20" s="23">
        <v>500</v>
      </c>
      <c r="I20" s="27"/>
      <c r="J20" s="24">
        <f t="shared" si="0"/>
        <v>53976.639999999999</v>
      </c>
      <c r="K20" s="24">
        <f t="shared" si="1"/>
        <v>27730.98</v>
      </c>
    </row>
    <row r="21" spans="2:11" x14ac:dyDescent="0.25">
      <c r="B21" s="31">
        <v>42495</v>
      </c>
      <c r="C21" s="21" t="s">
        <v>441</v>
      </c>
      <c r="D21" s="23"/>
      <c r="E21" s="23"/>
      <c r="F21" s="23"/>
      <c r="G21" s="23"/>
      <c r="H21" s="23">
        <v>1449.4</v>
      </c>
      <c r="I21" s="27"/>
      <c r="J21" s="24">
        <f t="shared" si="0"/>
        <v>53976.639999999999</v>
      </c>
      <c r="K21" s="24">
        <f t="shared" si="1"/>
        <v>26281.579999999998</v>
      </c>
    </row>
    <row r="22" spans="2:11" x14ac:dyDescent="0.25">
      <c r="B22" s="31">
        <v>42496</v>
      </c>
      <c r="C22" s="21" t="s">
        <v>444</v>
      </c>
      <c r="D22" s="23"/>
      <c r="E22" s="23"/>
      <c r="F22" s="23"/>
      <c r="G22" s="23"/>
      <c r="H22" s="92">
        <v>141</v>
      </c>
      <c r="I22" s="27"/>
      <c r="J22" s="24">
        <f t="shared" si="0"/>
        <v>53976.639999999999</v>
      </c>
      <c r="K22" s="24">
        <f t="shared" si="1"/>
        <v>26140.579999999998</v>
      </c>
    </row>
    <row r="23" spans="2:11" x14ac:dyDescent="0.25">
      <c r="B23" s="31">
        <v>42496</v>
      </c>
      <c r="C23" s="21" t="s">
        <v>444</v>
      </c>
      <c r="D23" s="23"/>
      <c r="E23" s="23"/>
      <c r="F23" s="23"/>
      <c r="G23" s="23"/>
      <c r="H23" s="92">
        <v>56.5</v>
      </c>
      <c r="I23" s="27"/>
      <c r="J23" s="24">
        <f t="shared" si="0"/>
        <v>53976.639999999999</v>
      </c>
      <c r="K23" s="24">
        <f t="shared" si="1"/>
        <v>26084.079999999998</v>
      </c>
    </row>
    <row r="24" spans="2:11" x14ac:dyDescent="0.25">
      <c r="B24" s="31">
        <v>42496</v>
      </c>
      <c r="C24" s="21" t="s">
        <v>442</v>
      </c>
      <c r="D24" s="23"/>
      <c r="E24" s="23"/>
      <c r="F24" s="23"/>
      <c r="G24" s="23"/>
      <c r="H24" s="23">
        <v>750</v>
      </c>
      <c r="I24" s="27"/>
      <c r="J24" s="24">
        <f t="shared" si="0"/>
        <v>53976.639999999999</v>
      </c>
      <c r="K24" s="24">
        <f t="shared" si="1"/>
        <v>25334.079999999998</v>
      </c>
    </row>
    <row r="25" spans="2:11" x14ac:dyDescent="0.25">
      <c r="B25" s="31">
        <v>42496</v>
      </c>
      <c r="C25" s="21" t="s">
        <v>295</v>
      </c>
      <c r="D25" s="23"/>
      <c r="E25" s="23"/>
      <c r="F25" s="23"/>
      <c r="G25" s="23"/>
      <c r="H25" s="23">
        <v>175</v>
      </c>
      <c r="I25" s="27"/>
      <c r="J25" s="24">
        <f t="shared" si="0"/>
        <v>53976.639999999999</v>
      </c>
      <c r="K25" s="24">
        <f t="shared" si="1"/>
        <v>25159.079999999998</v>
      </c>
    </row>
    <row r="26" spans="2:11" x14ac:dyDescent="0.25">
      <c r="B26" s="31">
        <v>42496</v>
      </c>
      <c r="C26" s="21" t="s">
        <v>443</v>
      </c>
      <c r="D26" s="23"/>
      <c r="E26" s="23"/>
      <c r="F26" s="23"/>
      <c r="G26" s="23"/>
      <c r="H26" s="23">
        <v>1000</v>
      </c>
      <c r="I26" s="27"/>
      <c r="J26" s="24">
        <f t="shared" si="0"/>
        <v>53976.639999999999</v>
      </c>
      <c r="K26" s="24">
        <f t="shared" si="1"/>
        <v>24159.079999999998</v>
      </c>
    </row>
    <row r="27" spans="2:11" x14ac:dyDescent="0.25">
      <c r="B27" s="31">
        <v>42498</v>
      </c>
      <c r="C27" s="21" t="s">
        <v>445</v>
      </c>
      <c r="D27" s="23"/>
      <c r="E27" s="23"/>
      <c r="F27" s="23"/>
      <c r="G27" s="23"/>
      <c r="H27" s="23">
        <v>81.5</v>
      </c>
      <c r="I27" s="27"/>
      <c r="J27" s="24">
        <f t="shared" si="0"/>
        <v>53976.639999999999</v>
      </c>
      <c r="K27" s="24">
        <f t="shared" si="1"/>
        <v>24077.579999999998</v>
      </c>
    </row>
    <row r="28" spans="2:11" x14ac:dyDescent="0.25">
      <c r="B28" s="31">
        <v>42498</v>
      </c>
      <c r="C28" s="21" t="s">
        <v>446</v>
      </c>
      <c r="D28" s="23"/>
      <c r="E28" s="23"/>
      <c r="F28" s="23"/>
      <c r="G28" s="23"/>
      <c r="H28" s="23">
        <v>100</v>
      </c>
      <c r="I28" s="27"/>
      <c r="J28" s="24">
        <f t="shared" si="0"/>
        <v>53976.639999999999</v>
      </c>
      <c r="K28" s="24">
        <f t="shared" si="1"/>
        <v>23977.579999999998</v>
      </c>
    </row>
    <row r="29" spans="2:11" x14ac:dyDescent="0.25">
      <c r="B29" s="31">
        <v>42498</v>
      </c>
      <c r="C29" s="21" t="s">
        <v>447</v>
      </c>
      <c r="D29" s="23">
        <v>19975</v>
      </c>
      <c r="E29" s="23"/>
      <c r="F29" s="23"/>
      <c r="G29" s="23"/>
      <c r="H29" s="23"/>
      <c r="I29" s="27"/>
      <c r="J29" s="24">
        <f t="shared" si="0"/>
        <v>53976.639999999999</v>
      </c>
      <c r="K29" s="24">
        <f t="shared" si="1"/>
        <v>43952.58</v>
      </c>
    </row>
    <row r="30" spans="2:11" x14ac:dyDescent="0.25">
      <c r="B30" s="31">
        <v>42499</v>
      </c>
      <c r="C30" s="21" t="s">
        <v>448</v>
      </c>
      <c r="D30" s="23"/>
      <c r="E30" s="23"/>
      <c r="F30" s="23"/>
      <c r="G30" s="23"/>
      <c r="H30" s="92">
        <v>50</v>
      </c>
      <c r="I30" s="27"/>
      <c r="J30" s="24">
        <f t="shared" si="0"/>
        <v>53976.639999999999</v>
      </c>
      <c r="K30" s="24">
        <f t="shared" si="1"/>
        <v>43902.58</v>
      </c>
    </row>
    <row r="31" spans="2:11" x14ac:dyDescent="0.25">
      <c r="B31" s="31">
        <v>42499</v>
      </c>
      <c r="C31" s="21" t="s">
        <v>449</v>
      </c>
      <c r="D31" s="23"/>
      <c r="E31" s="23"/>
      <c r="F31" s="23"/>
      <c r="G31" s="23"/>
      <c r="H31" s="23">
        <v>142</v>
      </c>
      <c r="I31" s="27"/>
      <c r="J31" s="24">
        <f t="shared" si="0"/>
        <v>53976.639999999999</v>
      </c>
      <c r="K31" s="24">
        <f t="shared" si="1"/>
        <v>43760.58</v>
      </c>
    </row>
    <row r="32" spans="2:11" x14ac:dyDescent="0.25">
      <c r="B32" s="31">
        <v>42499</v>
      </c>
      <c r="C32" s="21" t="s">
        <v>450</v>
      </c>
      <c r="D32" s="23"/>
      <c r="E32" s="23"/>
      <c r="F32" s="23"/>
      <c r="G32" s="23"/>
      <c r="H32" s="23">
        <v>300</v>
      </c>
      <c r="I32" s="27"/>
      <c r="J32" s="24">
        <f t="shared" si="0"/>
        <v>53976.639999999999</v>
      </c>
      <c r="K32" s="24">
        <f t="shared" si="1"/>
        <v>43460.58</v>
      </c>
    </row>
    <row r="33" spans="2:11" x14ac:dyDescent="0.25">
      <c r="B33" s="31">
        <v>42499</v>
      </c>
      <c r="C33" s="21" t="s">
        <v>451</v>
      </c>
      <c r="D33" s="23"/>
      <c r="E33" s="23"/>
      <c r="F33" s="23"/>
      <c r="G33" s="23"/>
      <c r="H33" s="23">
        <v>400</v>
      </c>
      <c r="I33" s="27"/>
      <c r="J33" s="24">
        <f t="shared" si="0"/>
        <v>53976.639999999999</v>
      </c>
      <c r="K33" s="24">
        <f t="shared" si="1"/>
        <v>43060.58</v>
      </c>
    </row>
    <row r="34" spans="2:11" x14ac:dyDescent="0.25">
      <c r="B34" s="31">
        <v>42499</v>
      </c>
      <c r="C34" s="21" t="s">
        <v>452</v>
      </c>
      <c r="D34" s="23"/>
      <c r="E34" s="23"/>
      <c r="F34" s="23"/>
      <c r="G34" s="23"/>
      <c r="H34" s="23">
        <v>700</v>
      </c>
      <c r="I34" s="27"/>
      <c r="J34" s="24">
        <f t="shared" si="0"/>
        <v>53976.639999999999</v>
      </c>
      <c r="K34" s="24">
        <f t="shared" si="1"/>
        <v>42360.58</v>
      </c>
    </row>
    <row r="35" spans="2:11" x14ac:dyDescent="0.25">
      <c r="B35" s="31">
        <v>42499</v>
      </c>
      <c r="C35" s="21" t="s">
        <v>453</v>
      </c>
      <c r="D35" s="23"/>
      <c r="E35" s="23"/>
      <c r="F35" s="23"/>
      <c r="G35" s="23"/>
      <c r="H35" s="23">
        <v>500</v>
      </c>
      <c r="I35" s="27"/>
      <c r="J35" s="24">
        <f t="shared" si="0"/>
        <v>53976.639999999999</v>
      </c>
      <c r="K35" s="24">
        <f t="shared" si="1"/>
        <v>41860.58</v>
      </c>
    </row>
    <row r="36" spans="2:11" x14ac:dyDescent="0.25">
      <c r="B36" s="31">
        <v>42499</v>
      </c>
      <c r="C36" s="21" t="s">
        <v>454</v>
      </c>
      <c r="D36" s="23"/>
      <c r="E36" s="23"/>
      <c r="F36" s="23"/>
      <c r="G36" s="23"/>
      <c r="H36" s="23">
        <v>300</v>
      </c>
      <c r="I36" s="27"/>
      <c r="J36" s="24">
        <f t="shared" si="0"/>
        <v>53976.639999999999</v>
      </c>
      <c r="K36" s="24">
        <f t="shared" si="1"/>
        <v>41560.58</v>
      </c>
    </row>
    <row r="37" spans="2:11" x14ac:dyDescent="0.25">
      <c r="B37" s="31">
        <v>42499</v>
      </c>
      <c r="C37" s="21" t="s">
        <v>455</v>
      </c>
      <c r="D37" s="23"/>
      <c r="E37" s="23"/>
      <c r="F37" s="23"/>
      <c r="G37" s="23"/>
      <c r="H37" s="23">
        <v>810</v>
      </c>
      <c r="I37" s="27"/>
      <c r="J37" s="24">
        <f t="shared" si="0"/>
        <v>53976.639999999999</v>
      </c>
      <c r="K37" s="24">
        <f t="shared" si="1"/>
        <v>40750.58</v>
      </c>
    </row>
    <row r="38" spans="2:11" x14ac:dyDescent="0.25">
      <c r="B38" s="31">
        <v>42502</v>
      </c>
      <c r="C38" s="21" t="s">
        <v>463</v>
      </c>
      <c r="D38" s="23"/>
      <c r="E38" s="23"/>
      <c r="F38" s="23"/>
      <c r="G38" s="23"/>
      <c r="H38" s="23">
        <v>1300</v>
      </c>
      <c r="I38" s="27"/>
      <c r="J38" s="24">
        <f t="shared" si="0"/>
        <v>53976.639999999999</v>
      </c>
      <c r="K38" s="24">
        <f t="shared" si="1"/>
        <v>39450.58</v>
      </c>
    </row>
    <row r="39" spans="2:11" x14ac:dyDescent="0.25">
      <c r="B39" s="31">
        <v>42502</v>
      </c>
      <c r="C39" s="21" t="s">
        <v>464</v>
      </c>
      <c r="D39" s="23"/>
      <c r="E39" s="23"/>
      <c r="F39" s="23"/>
      <c r="G39" s="23"/>
      <c r="H39" s="23">
        <v>316</v>
      </c>
      <c r="I39" s="27"/>
      <c r="J39" s="24">
        <f t="shared" si="0"/>
        <v>53976.639999999999</v>
      </c>
      <c r="K39" s="24">
        <f t="shared" si="1"/>
        <v>39134.58</v>
      </c>
    </row>
    <row r="40" spans="2:11" x14ac:dyDescent="0.25">
      <c r="B40" s="31">
        <v>42503</v>
      </c>
      <c r="C40" s="21" t="s">
        <v>456</v>
      </c>
      <c r="D40" s="23"/>
      <c r="E40" s="23"/>
      <c r="F40" s="23"/>
      <c r="G40" s="23"/>
      <c r="H40" s="92">
        <v>1000</v>
      </c>
      <c r="I40" s="27"/>
      <c r="J40" s="24">
        <f t="shared" si="0"/>
        <v>53976.639999999999</v>
      </c>
      <c r="K40" s="24">
        <f t="shared" si="1"/>
        <v>38134.58</v>
      </c>
    </row>
    <row r="41" spans="2:11" x14ac:dyDescent="0.25">
      <c r="B41" s="31">
        <v>42503</v>
      </c>
      <c r="C41" s="21" t="s">
        <v>465</v>
      </c>
      <c r="D41" s="23"/>
      <c r="E41" s="23"/>
      <c r="F41" s="23"/>
      <c r="G41" s="23"/>
      <c r="H41" s="92">
        <v>174</v>
      </c>
      <c r="I41" s="27"/>
      <c r="J41" s="24">
        <f t="shared" si="0"/>
        <v>53976.639999999999</v>
      </c>
      <c r="K41" s="24">
        <f t="shared" si="1"/>
        <v>37960.58</v>
      </c>
    </row>
    <row r="42" spans="2:11" x14ac:dyDescent="0.25">
      <c r="B42" s="31">
        <v>42503</v>
      </c>
      <c r="C42" s="21" t="s">
        <v>41</v>
      </c>
      <c r="D42" s="23"/>
      <c r="E42" s="23"/>
      <c r="F42" s="23"/>
      <c r="G42" s="23"/>
      <c r="H42" s="92">
        <v>142</v>
      </c>
      <c r="I42" s="27"/>
      <c r="J42" s="24">
        <f t="shared" si="0"/>
        <v>53976.639999999999</v>
      </c>
      <c r="K42" s="24">
        <f t="shared" si="1"/>
        <v>37818.58</v>
      </c>
    </row>
    <row r="43" spans="2:11" x14ac:dyDescent="0.25">
      <c r="B43" s="31">
        <v>42503</v>
      </c>
      <c r="C43" s="21" t="s">
        <v>466</v>
      </c>
      <c r="D43" s="23"/>
      <c r="E43" s="23"/>
      <c r="F43" s="23"/>
      <c r="G43" s="23"/>
      <c r="H43" s="92">
        <v>450</v>
      </c>
      <c r="I43" s="27"/>
      <c r="J43" s="24">
        <f t="shared" si="0"/>
        <v>53976.639999999999</v>
      </c>
      <c r="K43" s="24">
        <f t="shared" si="1"/>
        <v>37368.58</v>
      </c>
    </row>
    <row r="44" spans="2:11" x14ac:dyDescent="0.25">
      <c r="B44" s="31">
        <v>42503</v>
      </c>
      <c r="C44" s="21" t="s">
        <v>467</v>
      </c>
      <c r="D44" s="23"/>
      <c r="E44" s="23"/>
      <c r="F44" s="23"/>
      <c r="G44" s="23"/>
      <c r="H44" s="92">
        <v>350</v>
      </c>
      <c r="I44" s="27"/>
      <c r="J44" s="24">
        <f t="shared" si="0"/>
        <v>53976.639999999999</v>
      </c>
      <c r="K44" s="24">
        <f t="shared" si="1"/>
        <v>37018.58</v>
      </c>
    </row>
    <row r="45" spans="2:11" x14ac:dyDescent="0.25">
      <c r="B45" s="31">
        <v>42505</v>
      </c>
      <c r="C45" s="21" t="s">
        <v>460</v>
      </c>
      <c r="D45" s="23"/>
      <c r="E45" s="23"/>
      <c r="F45" s="23"/>
      <c r="G45" s="23"/>
      <c r="H45" s="92">
        <v>450</v>
      </c>
      <c r="I45" s="27"/>
      <c r="J45" s="24">
        <f t="shared" ref="J45:J50" si="2">+J44+E45-G45</f>
        <v>53976.639999999999</v>
      </c>
      <c r="K45" s="24">
        <f t="shared" ref="K45:K50" si="3">+K44+D45-H45</f>
        <v>36568.58</v>
      </c>
    </row>
    <row r="46" spans="2:11" x14ac:dyDescent="0.25">
      <c r="B46" s="31">
        <v>42505</v>
      </c>
      <c r="C46" s="21" t="s">
        <v>468</v>
      </c>
      <c r="D46" s="23"/>
      <c r="E46" s="23"/>
      <c r="F46" s="23"/>
      <c r="G46" s="23"/>
      <c r="H46" s="92">
        <v>69.5</v>
      </c>
      <c r="I46" s="27"/>
      <c r="J46" s="24">
        <f t="shared" si="2"/>
        <v>53976.639999999999</v>
      </c>
      <c r="K46" s="24">
        <f t="shared" si="3"/>
        <v>36499.08</v>
      </c>
    </row>
    <row r="47" spans="2:11" x14ac:dyDescent="0.25">
      <c r="B47" s="31">
        <v>42505</v>
      </c>
      <c r="C47" s="25" t="s">
        <v>457</v>
      </c>
      <c r="D47" s="23"/>
      <c r="E47" s="23"/>
      <c r="F47" s="23"/>
      <c r="G47" s="23"/>
      <c r="H47" s="23">
        <v>2700</v>
      </c>
      <c r="I47" s="27"/>
      <c r="J47" s="24">
        <f t="shared" si="2"/>
        <v>53976.639999999999</v>
      </c>
      <c r="K47" s="24">
        <f t="shared" si="3"/>
        <v>33799.08</v>
      </c>
    </row>
    <row r="48" spans="2:11" x14ac:dyDescent="0.25">
      <c r="B48" s="31">
        <v>42505</v>
      </c>
      <c r="C48" s="25" t="s">
        <v>459</v>
      </c>
      <c r="D48" s="23"/>
      <c r="E48" s="23"/>
      <c r="F48" s="23"/>
      <c r="G48" s="23"/>
      <c r="H48" s="23">
        <v>29000</v>
      </c>
      <c r="I48" s="27"/>
      <c r="J48" s="24">
        <f t="shared" si="2"/>
        <v>53976.639999999999</v>
      </c>
      <c r="K48" s="24">
        <f t="shared" si="3"/>
        <v>4799.0800000000017</v>
      </c>
    </row>
    <row r="49" spans="2:11" x14ac:dyDescent="0.25">
      <c r="B49" s="31">
        <v>42505</v>
      </c>
      <c r="C49" s="25" t="s">
        <v>458</v>
      </c>
      <c r="D49" s="23"/>
      <c r="E49" s="23"/>
      <c r="F49" s="23"/>
      <c r="G49" s="23"/>
      <c r="H49" s="23">
        <v>4000</v>
      </c>
      <c r="I49" s="27"/>
      <c r="J49" s="24">
        <f t="shared" si="2"/>
        <v>53976.639999999999</v>
      </c>
      <c r="K49" s="24">
        <f t="shared" si="3"/>
        <v>799.08000000000175</v>
      </c>
    </row>
    <row r="50" spans="2:11" ht="15.75" thickBot="1" x14ac:dyDescent="0.3">
      <c r="B50" s="31">
        <v>42506</v>
      </c>
      <c r="C50" s="21" t="s">
        <v>469</v>
      </c>
      <c r="D50" s="23">
        <v>16960</v>
      </c>
      <c r="E50" s="23"/>
      <c r="F50" s="23"/>
      <c r="G50" s="23"/>
      <c r="H50" s="23"/>
      <c r="I50" s="27"/>
      <c r="J50" s="24">
        <f t="shared" si="2"/>
        <v>53976.639999999999</v>
      </c>
      <c r="K50" s="24">
        <f t="shared" si="3"/>
        <v>17759.080000000002</v>
      </c>
    </row>
    <row r="51" spans="2:11" ht="15.75" thickBot="1" x14ac:dyDescent="0.3">
      <c r="B51" s="13"/>
      <c r="C51" s="16" t="s">
        <v>0</v>
      </c>
      <c r="D51" s="105">
        <f>SUM(D5:D50)</f>
        <v>66095</v>
      </c>
      <c r="E51" s="103">
        <f>SUM(E5:E50)</f>
        <v>300.45999999999998</v>
      </c>
      <c r="F51" s="114">
        <f>SUM(D51:E51)</f>
        <v>66395.460000000006</v>
      </c>
      <c r="G51" s="114">
        <f>SUM(G5:G50)</f>
        <v>9000</v>
      </c>
      <c r="H51" s="105">
        <f>SUM(H5:H50)</f>
        <v>52302.1</v>
      </c>
      <c r="I51" s="114">
        <f>SUM(G51:H51)</f>
        <v>61302.1</v>
      </c>
      <c r="J51" s="33"/>
      <c r="K51" s="33"/>
    </row>
    <row r="52" spans="2:11" x14ac:dyDescent="0.25">
      <c r="B52" s="111" t="s">
        <v>1</v>
      </c>
      <c r="C52" s="111" t="s">
        <v>2</v>
      </c>
      <c r="D52" s="111" t="s">
        <v>3</v>
      </c>
      <c r="E52" s="111" t="s">
        <v>3</v>
      </c>
      <c r="F52" s="111" t="s">
        <v>323</v>
      </c>
      <c r="G52" s="111" t="s">
        <v>324</v>
      </c>
      <c r="H52" s="81" t="s">
        <v>324</v>
      </c>
      <c r="I52" s="81" t="s">
        <v>323</v>
      </c>
      <c r="J52" s="111" t="s">
        <v>174</v>
      </c>
      <c r="K52" s="81" t="s">
        <v>173</v>
      </c>
    </row>
    <row r="53" spans="2:11" ht="15.75" thickBot="1" x14ac:dyDescent="0.3">
      <c r="B53" s="112"/>
      <c r="C53" s="112"/>
      <c r="D53" s="112" t="s">
        <v>6</v>
      </c>
      <c r="E53" s="112" t="s">
        <v>325</v>
      </c>
      <c r="F53" s="112" t="s">
        <v>3</v>
      </c>
      <c r="G53" s="112" t="s">
        <v>325</v>
      </c>
      <c r="H53" s="113" t="s">
        <v>6</v>
      </c>
      <c r="I53" s="113" t="s">
        <v>5</v>
      </c>
      <c r="J53" s="112"/>
      <c r="K53" s="113"/>
    </row>
    <row r="54" spans="2:11" ht="15.75" thickBot="1" x14ac:dyDescent="0.3">
      <c r="B54" s="13"/>
      <c r="C54" s="16" t="s">
        <v>0</v>
      </c>
      <c r="D54" s="105">
        <v>66095</v>
      </c>
      <c r="E54" s="103">
        <f>SUM(E17:E53)</f>
        <v>300.45999999999998</v>
      </c>
      <c r="F54" s="114">
        <v>66395.460000000006</v>
      </c>
      <c r="G54" s="114">
        <f>SUM(G17:G53)</f>
        <v>9000</v>
      </c>
      <c r="H54" s="105">
        <v>52302.1</v>
      </c>
      <c r="I54" s="114">
        <v>61302.1</v>
      </c>
      <c r="J54" s="33">
        <v>53976.639999999999</v>
      </c>
      <c r="K54" s="33">
        <v>17759.080000000002</v>
      </c>
    </row>
    <row r="55" spans="2:11" x14ac:dyDescent="0.25">
      <c r="B55" s="31">
        <v>42506</v>
      </c>
      <c r="C55" s="21" t="s">
        <v>475</v>
      </c>
      <c r="D55" s="23">
        <v>1300</v>
      </c>
      <c r="E55" s="23"/>
      <c r="F55" s="23"/>
      <c r="G55" s="23"/>
      <c r="H55" s="23"/>
      <c r="I55" s="27"/>
      <c r="J55" s="24">
        <f t="shared" ref="J55" si="4">+J54+E55-G55</f>
        <v>53976.639999999999</v>
      </c>
      <c r="K55" s="24">
        <f t="shared" ref="K55" si="5">+K54+D55-H55</f>
        <v>19059.080000000002</v>
      </c>
    </row>
    <row r="56" spans="2:11" x14ac:dyDescent="0.25">
      <c r="B56" s="31">
        <v>42506</v>
      </c>
      <c r="C56" s="25" t="s">
        <v>470</v>
      </c>
      <c r="D56" s="23"/>
      <c r="E56" s="23"/>
      <c r="F56" s="23"/>
      <c r="G56" s="23"/>
      <c r="H56" s="23">
        <v>349</v>
      </c>
      <c r="I56" s="27"/>
      <c r="J56" s="24">
        <f t="shared" ref="J56:J99" si="6">+J55+E56-G56</f>
        <v>53976.639999999999</v>
      </c>
      <c r="K56" s="24">
        <f t="shared" ref="K56:K99" si="7">+K55+D56-H56</f>
        <v>18710.080000000002</v>
      </c>
    </row>
    <row r="57" spans="2:11" x14ac:dyDescent="0.25">
      <c r="B57" s="31">
        <v>42506</v>
      </c>
      <c r="C57" s="62" t="s">
        <v>461</v>
      </c>
      <c r="D57" s="23"/>
      <c r="E57" s="23"/>
      <c r="F57" s="23"/>
      <c r="G57" s="23">
        <v>1760</v>
      </c>
      <c r="H57" s="23"/>
      <c r="I57" s="27"/>
      <c r="J57" s="24">
        <f t="shared" si="6"/>
        <v>52216.639999999999</v>
      </c>
      <c r="K57" s="24">
        <f t="shared" si="7"/>
        <v>18710.080000000002</v>
      </c>
    </row>
    <row r="58" spans="2:11" x14ac:dyDescent="0.25">
      <c r="B58" s="31">
        <v>42506</v>
      </c>
      <c r="C58" s="60" t="s">
        <v>462</v>
      </c>
      <c r="D58" s="23"/>
      <c r="E58" s="23"/>
      <c r="F58" s="23"/>
      <c r="G58" s="23">
        <v>1224</v>
      </c>
      <c r="H58" s="23"/>
      <c r="I58" s="27"/>
      <c r="J58" s="24">
        <f t="shared" si="6"/>
        <v>50992.639999999999</v>
      </c>
      <c r="K58" s="24">
        <f t="shared" si="7"/>
        <v>18710.080000000002</v>
      </c>
    </row>
    <row r="59" spans="2:11" x14ac:dyDescent="0.25">
      <c r="B59" s="31">
        <v>42506</v>
      </c>
      <c r="C59" s="21" t="s">
        <v>471</v>
      </c>
      <c r="D59" s="23"/>
      <c r="E59" s="23"/>
      <c r="F59" s="23"/>
      <c r="G59" s="23"/>
      <c r="H59" s="23">
        <v>131</v>
      </c>
      <c r="I59" s="27"/>
      <c r="J59" s="24">
        <f t="shared" si="6"/>
        <v>50992.639999999999</v>
      </c>
      <c r="K59" s="24">
        <f t="shared" si="7"/>
        <v>18579.080000000002</v>
      </c>
    </row>
    <row r="60" spans="2:11" x14ac:dyDescent="0.25">
      <c r="B60" s="31">
        <v>42506</v>
      </c>
      <c r="C60" s="21" t="s">
        <v>472</v>
      </c>
      <c r="D60" s="23"/>
      <c r="E60" s="23"/>
      <c r="F60" s="23"/>
      <c r="G60" s="23"/>
      <c r="H60" s="23">
        <v>500</v>
      </c>
      <c r="I60" s="27"/>
      <c r="J60" s="24">
        <f t="shared" si="6"/>
        <v>50992.639999999999</v>
      </c>
      <c r="K60" s="24">
        <f t="shared" si="7"/>
        <v>18079.080000000002</v>
      </c>
    </row>
    <row r="61" spans="2:11" x14ac:dyDescent="0.25">
      <c r="B61" s="31">
        <v>42507</v>
      </c>
      <c r="C61" s="21" t="s">
        <v>473</v>
      </c>
      <c r="D61" s="23"/>
      <c r="E61" s="23"/>
      <c r="F61" s="23"/>
      <c r="G61" s="23">
        <v>3450</v>
      </c>
      <c r="H61" s="23"/>
      <c r="I61" s="27"/>
      <c r="J61" s="24">
        <f t="shared" si="6"/>
        <v>47542.64</v>
      </c>
      <c r="K61" s="24">
        <f t="shared" si="7"/>
        <v>18079.080000000002</v>
      </c>
    </row>
    <row r="62" spans="2:11" x14ac:dyDescent="0.25">
      <c r="B62" s="31">
        <v>42507</v>
      </c>
      <c r="C62" s="21" t="s">
        <v>41</v>
      </c>
      <c r="D62" s="23"/>
      <c r="E62" s="23"/>
      <c r="F62" s="23"/>
      <c r="G62" s="23"/>
      <c r="H62" s="23">
        <v>132</v>
      </c>
      <c r="I62" s="27"/>
      <c r="J62" s="24">
        <f t="shared" si="6"/>
        <v>47542.64</v>
      </c>
      <c r="K62" s="24">
        <f t="shared" si="7"/>
        <v>17947.080000000002</v>
      </c>
    </row>
    <row r="63" spans="2:11" x14ac:dyDescent="0.25">
      <c r="B63" s="31">
        <v>42507</v>
      </c>
      <c r="C63" s="21" t="s">
        <v>476</v>
      </c>
      <c r="D63" s="23"/>
      <c r="E63" s="23">
        <v>1200</v>
      </c>
      <c r="F63" s="23"/>
      <c r="G63" s="23"/>
      <c r="H63" s="23"/>
      <c r="I63" s="27"/>
      <c r="J63" s="24">
        <f t="shared" si="6"/>
        <v>48742.64</v>
      </c>
      <c r="K63" s="24">
        <f t="shared" si="7"/>
        <v>17947.080000000002</v>
      </c>
    </row>
    <row r="64" spans="2:11" x14ac:dyDescent="0.25">
      <c r="B64" s="31">
        <v>42508</v>
      </c>
      <c r="C64" s="21" t="s">
        <v>481</v>
      </c>
      <c r="D64" s="23"/>
      <c r="E64" s="23">
        <v>12760</v>
      </c>
      <c r="F64" s="23"/>
      <c r="G64" s="23"/>
      <c r="H64" s="23"/>
      <c r="I64" s="27"/>
      <c r="J64" s="24">
        <f t="shared" si="6"/>
        <v>61502.64</v>
      </c>
      <c r="K64" s="24">
        <f t="shared" si="7"/>
        <v>17947.080000000002</v>
      </c>
    </row>
    <row r="65" spans="2:11" x14ac:dyDescent="0.25">
      <c r="B65" s="31">
        <v>42508</v>
      </c>
      <c r="C65" s="21" t="s">
        <v>474</v>
      </c>
      <c r="D65" s="23"/>
      <c r="E65" s="23"/>
      <c r="F65" s="23"/>
      <c r="G65" s="23"/>
      <c r="H65" s="23">
        <v>67.5</v>
      </c>
      <c r="I65" s="27"/>
      <c r="J65" s="24">
        <f t="shared" si="6"/>
        <v>61502.64</v>
      </c>
      <c r="K65" s="24">
        <f t="shared" si="7"/>
        <v>17879.580000000002</v>
      </c>
    </row>
    <row r="66" spans="2:11" x14ac:dyDescent="0.25">
      <c r="B66" s="31">
        <v>42509</v>
      </c>
      <c r="C66" s="21" t="s">
        <v>477</v>
      </c>
      <c r="D66" s="23"/>
      <c r="E66" s="23"/>
      <c r="F66" s="23"/>
      <c r="G66" s="23"/>
      <c r="H66" s="23">
        <v>7</v>
      </c>
      <c r="I66" s="27"/>
      <c r="J66" s="24">
        <f t="shared" si="6"/>
        <v>61502.64</v>
      </c>
      <c r="K66" s="24">
        <f t="shared" si="7"/>
        <v>17872.580000000002</v>
      </c>
    </row>
    <row r="67" spans="2:11" x14ac:dyDescent="0.25">
      <c r="B67" s="31">
        <v>42509</v>
      </c>
      <c r="C67" s="21" t="s">
        <v>478</v>
      </c>
      <c r="D67" s="23"/>
      <c r="E67" s="23"/>
      <c r="F67" s="23"/>
      <c r="G67" s="23"/>
      <c r="H67" s="23">
        <v>650</v>
      </c>
      <c r="I67" s="27"/>
      <c r="J67" s="24">
        <f t="shared" si="6"/>
        <v>61502.64</v>
      </c>
      <c r="K67" s="24">
        <f t="shared" si="7"/>
        <v>17222.580000000002</v>
      </c>
    </row>
    <row r="68" spans="2:11" x14ac:dyDescent="0.25">
      <c r="B68" s="31">
        <v>42510</v>
      </c>
      <c r="C68" s="21" t="s">
        <v>479</v>
      </c>
      <c r="D68" s="23"/>
      <c r="E68" s="23"/>
      <c r="F68" s="23"/>
      <c r="G68" s="23"/>
      <c r="H68" s="23">
        <v>350</v>
      </c>
      <c r="I68" s="27"/>
      <c r="J68" s="24">
        <f t="shared" si="6"/>
        <v>61502.64</v>
      </c>
      <c r="K68" s="24">
        <f t="shared" si="7"/>
        <v>16872.580000000002</v>
      </c>
    </row>
    <row r="69" spans="2:11" x14ac:dyDescent="0.25">
      <c r="B69" s="31">
        <v>42510</v>
      </c>
      <c r="C69" s="21" t="s">
        <v>295</v>
      </c>
      <c r="D69" s="23"/>
      <c r="E69" s="23"/>
      <c r="F69" s="23"/>
      <c r="G69" s="23"/>
      <c r="H69" s="23">
        <v>175</v>
      </c>
      <c r="I69" s="27"/>
      <c r="J69" s="24">
        <f t="shared" si="6"/>
        <v>61502.64</v>
      </c>
      <c r="K69" s="24">
        <f t="shared" si="7"/>
        <v>16697.580000000002</v>
      </c>
    </row>
    <row r="70" spans="2:11" x14ac:dyDescent="0.25">
      <c r="B70" s="31">
        <v>42510</v>
      </c>
      <c r="C70" s="21" t="s">
        <v>482</v>
      </c>
      <c r="D70" s="23"/>
      <c r="E70" s="23"/>
      <c r="F70" s="23"/>
      <c r="G70" s="23"/>
      <c r="H70" s="23">
        <v>160</v>
      </c>
      <c r="I70" s="27"/>
      <c r="J70" s="24">
        <f t="shared" si="6"/>
        <v>61502.64</v>
      </c>
      <c r="K70" s="24">
        <f t="shared" si="7"/>
        <v>16537.580000000002</v>
      </c>
    </row>
    <row r="71" spans="2:11" x14ac:dyDescent="0.25">
      <c r="B71" s="31">
        <v>42510</v>
      </c>
      <c r="C71" s="21" t="s">
        <v>483</v>
      </c>
      <c r="D71" s="23"/>
      <c r="E71" s="23"/>
      <c r="F71" s="23"/>
      <c r="G71" s="23"/>
      <c r="H71" s="23">
        <v>500</v>
      </c>
      <c r="I71" s="27"/>
      <c r="J71" s="24">
        <f t="shared" si="6"/>
        <v>61502.64</v>
      </c>
      <c r="K71" s="24">
        <f t="shared" si="7"/>
        <v>16037.580000000002</v>
      </c>
    </row>
    <row r="72" spans="2:11" x14ac:dyDescent="0.25">
      <c r="B72" s="31">
        <v>42510</v>
      </c>
      <c r="C72" s="21" t="s">
        <v>484</v>
      </c>
      <c r="D72" s="23"/>
      <c r="E72" s="23"/>
      <c r="F72" s="23"/>
      <c r="G72" s="23"/>
      <c r="H72" s="23">
        <v>1000</v>
      </c>
      <c r="I72" s="27"/>
      <c r="J72" s="24">
        <f t="shared" si="6"/>
        <v>61502.64</v>
      </c>
      <c r="K72" s="24">
        <f t="shared" si="7"/>
        <v>15037.580000000002</v>
      </c>
    </row>
    <row r="73" spans="2:11" x14ac:dyDescent="0.25">
      <c r="B73" s="31">
        <v>42511</v>
      </c>
      <c r="C73" s="21" t="s">
        <v>485</v>
      </c>
      <c r="D73" s="23"/>
      <c r="E73" s="23"/>
      <c r="F73" s="23"/>
      <c r="G73" s="23">
        <v>3000</v>
      </c>
      <c r="H73" s="23"/>
      <c r="I73" s="27"/>
      <c r="J73" s="24">
        <f t="shared" si="6"/>
        <v>58502.64</v>
      </c>
      <c r="K73" s="24">
        <f t="shared" si="7"/>
        <v>15037.580000000002</v>
      </c>
    </row>
    <row r="74" spans="2:11" x14ac:dyDescent="0.25">
      <c r="B74" s="31">
        <v>42511</v>
      </c>
      <c r="C74" s="21" t="s">
        <v>486</v>
      </c>
      <c r="D74" s="23"/>
      <c r="E74" s="23"/>
      <c r="F74" s="23"/>
      <c r="G74" s="23"/>
      <c r="H74" s="23">
        <v>720</v>
      </c>
      <c r="I74" s="27"/>
      <c r="J74" s="24">
        <f t="shared" si="6"/>
        <v>58502.64</v>
      </c>
      <c r="K74" s="24">
        <f t="shared" si="7"/>
        <v>14317.580000000002</v>
      </c>
    </row>
    <row r="75" spans="2:11" x14ac:dyDescent="0.25">
      <c r="B75" s="31">
        <v>42511</v>
      </c>
      <c r="C75" s="21" t="s">
        <v>487</v>
      </c>
      <c r="D75" s="23"/>
      <c r="E75" s="23"/>
      <c r="F75" s="23"/>
      <c r="G75" s="23"/>
      <c r="H75" s="23">
        <v>64.5</v>
      </c>
      <c r="I75" s="27"/>
      <c r="J75" s="24">
        <f t="shared" si="6"/>
        <v>58502.64</v>
      </c>
      <c r="K75" s="24">
        <f t="shared" si="7"/>
        <v>14253.080000000002</v>
      </c>
    </row>
    <row r="76" spans="2:11" x14ac:dyDescent="0.25">
      <c r="B76" s="31">
        <v>42512</v>
      </c>
      <c r="C76" s="21" t="s">
        <v>446</v>
      </c>
      <c r="D76" s="23"/>
      <c r="E76" s="23"/>
      <c r="F76" s="23"/>
      <c r="G76" s="23"/>
      <c r="H76" s="23">
        <v>100</v>
      </c>
      <c r="I76" s="27"/>
      <c r="J76" s="24">
        <f t="shared" si="6"/>
        <v>58502.64</v>
      </c>
      <c r="K76" s="24">
        <f t="shared" si="7"/>
        <v>14153.080000000002</v>
      </c>
    </row>
    <row r="77" spans="2:11" x14ac:dyDescent="0.25">
      <c r="B77" s="31">
        <v>42512</v>
      </c>
      <c r="C77" s="21" t="s">
        <v>488</v>
      </c>
      <c r="D77" s="23"/>
      <c r="E77" s="23"/>
      <c r="F77" s="23"/>
      <c r="G77" s="23"/>
      <c r="H77" s="23">
        <v>84.4</v>
      </c>
      <c r="I77" s="27"/>
      <c r="J77" s="24">
        <f t="shared" si="6"/>
        <v>58502.64</v>
      </c>
      <c r="K77" s="24">
        <f t="shared" si="7"/>
        <v>14068.680000000002</v>
      </c>
    </row>
    <row r="78" spans="2:11" x14ac:dyDescent="0.25">
      <c r="B78" s="31">
        <v>42513</v>
      </c>
      <c r="C78" s="21" t="s">
        <v>513</v>
      </c>
      <c r="D78" s="23">
        <v>25480</v>
      </c>
      <c r="E78" s="23"/>
      <c r="F78" s="23"/>
      <c r="G78" s="23"/>
      <c r="H78" s="23"/>
      <c r="I78" s="27"/>
      <c r="J78" s="24">
        <f t="shared" si="6"/>
        <v>58502.64</v>
      </c>
      <c r="K78" s="24">
        <f t="shared" si="7"/>
        <v>39548.68</v>
      </c>
    </row>
    <row r="79" spans="2:11" x14ac:dyDescent="0.25">
      <c r="B79" s="31">
        <v>42513</v>
      </c>
      <c r="C79" s="21" t="s">
        <v>259</v>
      </c>
      <c r="D79" s="23"/>
      <c r="E79" s="23"/>
      <c r="F79" s="23"/>
      <c r="G79" s="23"/>
      <c r="H79" s="23">
        <v>142</v>
      </c>
      <c r="I79" s="27"/>
      <c r="J79" s="24">
        <f t="shared" si="6"/>
        <v>58502.64</v>
      </c>
      <c r="K79" s="24">
        <f t="shared" si="7"/>
        <v>39406.68</v>
      </c>
    </row>
    <row r="80" spans="2:11" x14ac:dyDescent="0.25">
      <c r="B80" s="31">
        <v>42513</v>
      </c>
      <c r="C80" s="21" t="s">
        <v>489</v>
      </c>
      <c r="D80" s="23"/>
      <c r="E80" s="23"/>
      <c r="F80" s="23"/>
      <c r="G80" s="23"/>
      <c r="H80" s="23">
        <v>65</v>
      </c>
      <c r="I80" s="27"/>
      <c r="J80" s="24">
        <f t="shared" si="6"/>
        <v>58502.64</v>
      </c>
      <c r="K80" s="24">
        <f t="shared" si="7"/>
        <v>39341.68</v>
      </c>
    </row>
    <row r="81" spans="2:12" x14ac:dyDescent="0.25">
      <c r="B81" s="31">
        <v>42514</v>
      </c>
      <c r="C81" s="21" t="s">
        <v>490</v>
      </c>
      <c r="D81" s="23"/>
      <c r="E81" s="23"/>
      <c r="F81" s="23"/>
      <c r="G81" s="23"/>
      <c r="H81" s="23">
        <v>190</v>
      </c>
      <c r="I81" s="27"/>
      <c r="J81" s="24">
        <f t="shared" si="6"/>
        <v>58502.64</v>
      </c>
      <c r="K81" s="24">
        <f t="shared" si="7"/>
        <v>39151.68</v>
      </c>
    </row>
    <row r="82" spans="2:12" x14ac:dyDescent="0.25">
      <c r="B82" s="31">
        <v>42514</v>
      </c>
      <c r="C82" s="21" t="s">
        <v>491</v>
      </c>
      <c r="D82" s="23"/>
      <c r="E82" s="23"/>
      <c r="F82" s="23"/>
      <c r="G82" s="23"/>
      <c r="H82" s="23">
        <v>79.400000000000006</v>
      </c>
      <c r="I82" s="27"/>
      <c r="J82" s="24">
        <f t="shared" si="6"/>
        <v>58502.64</v>
      </c>
      <c r="K82" s="24">
        <f t="shared" si="7"/>
        <v>39072.28</v>
      </c>
    </row>
    <row r="83" spans="2:12" x14ac:dyDescent="0.25">
      <c r="B83" s="31">
        <v>42514</v>
      </c>
      <c r="C83" s="21" t="s">
        <v>492</v>
      </c>
      <c r="D83" s="23"/>
      <c r="E83" s="23"/>
      <c r="F83" s="23"/>
      <c r="G83" s="23"/>
      <c r="H83" s="23">
        <v>750</v>
      </c>
      <c r="I83" s="27"/>
      <c r="J83" s="24">
        <f t="shared" si="6"/>
        <v>58502.64</v>
      </c>
      <c r="K83" s="24">
        <f t="shared" si="7"/>
        <v>38322.28</v>
      </c>
    </row>
    <row r="84" spans="2:12" x14ac:dyDescent="0.25">
      <c r="B84" s="31">
        <v>42515</v>
      </c>
      <c r="C84" s="21" t="s">
        <v>493</v>
      </c>
      <c r="D84" s="23"/>
      <c r="E84" s="23"/>
      <c r="F84" s="23"/>
      <c r="G84" s="23"/>
      <c r="H84" s="23">
        <v>155</v>
      </c>
      <c r="I84" s="27"/>
      <c r="J84" s="24">
        <f t="shared" si="6"/>
        <v>58502.64</v>
      </c>
      <c r="K84" s="24">
        <f t="shared" si="7"/>
        <v>38167.279999999999</v>
      </c>
    </row>
    <row r="85" spans="2:12" x14ac:dyDescent="0.25">
      <c r="B85" s="31">
        <v>42515</v>
      </c>
      <c r="C85" s="21" t="s">
        <v>494</v>
      </c>
      <c r="D85" s="23"/>
      <c r="E85" s="23"/>
      <c r="F85" s="23"/>
      <c r="G85" s="23"/>
      <c r="H85" s="23">
        <v>1400</v>
      </c>
      <c r="I85" s="27"/>
      <c r="J85" s="24">
        <f t="shared" si="6"/>
        <v>58502.64</v>
      </c>
      <c r="K85" s="24">
        <f t="shared" si="7"/>
        <v>36767.279999999999</v>
      </c>
    </row>
    <row r="86" spans="2:12" x14ac:dyDescent="0.25">
      <c r="B86" s="31">
        <v>42516</v>
      </c>
      <c r="C86" s="21" t="s">
        <v>495</v>
      </c>
      <c r="D86" s="23"/>
      <c r="E86" s="23"/>
      <c r="F86" s="23"/>
      <c r="G86" s="23"/>
      <c r="H86" s="23">
        <v>600</v>
      </c>
      <c r="I86" s="27"/>
      <c r="J86" s="24">
        <f t="shared" si="6"/>
        <v>58502.64</v>
      </c>
      <c r="K86" s="24">
        <f t="shared" si="7"/>
        <v>36167.279999999999</v>
      </c>
    </row>
    <row r="87" spans="2:12" x14ac:dyDescent="0.25">
      <c r="B87" s="31">
        <v>42516</v>
      </c>
      <c r="C87" s="21" t="s">
        <v>496</v>
      </c>
      <c r="D87" s="23"/>
      <c r="E87" s="23"/>
      <c r="F87" s="23"/>
      <c r="G87" s="23"/>
      <c r="H87" s="23">
        <v>300</v>
      </c>
      <c r="I87" s="27"/>
      <c r="J87" s="24">
        <f t="shared" si="6"/>
        <v>58502.64</v>
      </c>
      <c r="K87" s="24">
        <f t="shared" si="7"/>
        <v>35867.279999999999</v>
      </c>
    </row>
    <row r="88" spans="2:12" x14ac:dyDescent="0.25">
      <c r="B88" s="31">
        <v>42517</v>
      </c>
      <c r="C88" s="21" t="s">
        <v>497</v>
      </c>
      <c r="D88" s="23"/>
      <c r="E88" s="23"/>
      <c r="F88" s="23"/>
      <c r="G88" s="23"/>
      <c r="H88" s="23">
        <v>1000</v>
      </c>
      <c r="I88" s="27"/>
      <c r="J88" s="24">
        <f t="shared" si="6"/>
        <v>58502.64</v>
      </c>
      <c r="K88" s="24">
        <f t="shared" si="7"/>
        <v>34867.279999999999</v>
      </c>
    </row>
    <row r="89" spans="2:12" x14ac:dyDescent="0.25">
      <c r="B89" s="31">
        <v>42517</v>
      </c>
      <c r="C89" s="21" t="s">
        <v>41</v>
      </c>
      <c r="D89" s="23"/>
      <c r="E89" s="23"/>
      <c r="F89" s="23"/>
      <c r="G89" s="23"/>
      <c r="H89" s="23">
        <v>142</v>
      </c>
      <c r="I89" s="27"/>
      <c r="J89" s="24">
        <f t="shared" si="6"/>
        <v>58502.64</v>
      </c>
      <c r="K89" s="24">
        <f t="shared" si="7"/>
        <v>34725.279999999999</v>
      </c>
      <c r="L89" s="1"/>
    </row>
    <row r="90" spans="2:12" x14ac:dyDescent="0.25">
      <c r="B90" s="31">
        <v>42517</v>
      </c>
      <c r="C90" s="21" t="s">
        <v>17</v>
      </c>
      <c r="D90" s="23"/>
      <c r="E90" s="23"/>
      <c r="F90" s="23"/>
      <c r="G90" s="23"/>
      <c r="H90" s="23">
        <v>120</v>
      </c>
      <c r="I90" s="27"/>
      <c r="J90" s="24">
        <f t="shared" si="6"/>
        <v>58502.64</v>
      </c>
      <c r="K90" s="24">
        <f t="shared" si="7"/>
        <v>34605.279999999999</v>
      </c>
    </row>
    <row r="91" spans="2:12" x14ac:dyDescent="0.25">
      <c r="B91" s="31">
        <v>42518</v>
      </c>
      <c r="C91" s="21" t="s">
        <v>498</v>
      </c>
      <c r="D91" s="23"/>
      <c r="E91" s="23"/>
      <c r="F91" s="23"/>
      <c r="G91" s="23"/>
      <c r="H91" s="23">
        <v>300</v>
      </c>
      <c r="I91" s="27"/>
      <c r="J91" s="24">
        <f t="shared" si="6"/>
        <v>58502.64</v>
      </c>
      <c r="K91" s="24">
        <f t="shared" si="7"/>
        <v>34305.279999999999</v>
      </c>
    </row>
    <row r="92" spans="2:12" x14ac:dyDescent="0.25">
      <c r="B92" s="31">
        <v>42518</v>
      </c>
      <c r="C92" s="21" t="s">
        <v>499</v>
      </c>
      <c r="D92" s="23"/>
      <c r="E92" s="23"/>
      <c r="F92" s="23"/>
      <c r="G92" s="23"/>
      <c r="H92" s="23">
        <v>200</v>
      </c>
      <c r="I92" s="27"/>
      <c r="J92" s="24">
        <f t="shared" si="6"/>
        <v>58502.64</v>
      </c>
      <c r="K92" s="24">
        <f t="shared" si="7"/>
        <v>34105.279999999999</v>
      </c>
    </row>
    <row r="93" spans="2:12" x14ac:dyDescent="0.25">
      <c r="B93" s="31">
        <v>42519</v>
      </c>
      <c r="C93" s="21" t="s">
        <v>512</v>
      </c>
      <c r="D93" s="23">
        <v>10870</v>
      </c>
      <c r="E93" s="23"/>
      <c r="F93" s="23"/>
      <c r="G93" s="23"/>
      <c r="H93" s="23"/>
      <c r="I93" s="27"/>
      <c r="J93" s="24">
        <f t="shared" si="6"/>
        <v>58502.64</v>
      </c>
      <c r="K93" s="24">
        <f t="shared" si="7"/>
        <v>44975.28</v>
      </c>
    </row>
    <row r="94" spans="2:12" x14ac:dyDescent="0.25">
      <c r="B94" s="31">
        <v>42519</v>
      </c>
      <c r="C94" s="21" t="s">
        <v>371</v>
      </c>
      <c r="D94" s="23"/>
      <c r="E94" s="23"/>
      <c r="F94" s="23"/>
      <c r="G94" s="23"/>
      <c r="H94" s="23">
        <v>70</v>
      </c>
      <c r="I94" s="27"/>
      <c r="J94" s="24">
        <f t="shared" si="6"/>
        <v>58502.64</v>
      </c>
      <c r="K94" s="24">
        <f t="shared" si="7"/>
        <v>44905.279999999999</v>
      </c>
    </row>
    <row r="95" spans="2:12" x14ac:dyDescent="0.25">
      <c r="B95" s="31">
        <v>42519</v>
      </c>
      <c r="C95" s="21" t="s">
        <v>446</v>
      </c>
      <c r="D95" s="23"/>
      <c r="E95" s="23"/>
      <c r="F95" s="23"/>
      <c r="G95" s="23"/>
      <c r="H95" s="23">
        <v>100</v>
      </c>
      <c r="I95" s="27"/>
      <c r="J95" s="24">
        <f t="shared" si="6"/>
        <v>58502.64</v>
      </c>
      <c r="K95" s="24">
        <f t="shared" si="7"/>
        <v>44805.279999999999</v>
      </c>
    </row>
    <row r="96" spans="2:12" x14ac:dyDescent="0.25">
      <c r="B96" s="31">
        <v>42520</v>
      </c>
      <c r="C96" s="21" t="s">
        <v>500</v>
      </c>
      <c r="D96" s="23"/>
      <c r="E96" s="23"/>
      <c r="F96" s="23"/>
      <c r="G96" s="23"/>
      <c r="H96" s="23">
        <v>500</v>
      </c>
      <c r="I96" s="27"/>
      <c r="J96" s="24">
        <f t="shared" si="6"/>
        <v>58502.64</v>
      </c>
      <c r="K96" s="24">
        <f t="shared" si="7"/>
        <v>44305.279999999999</v>
      </c>
    </row>
    <row r="97" spans="2:11" x14ac:dyDescent="0.25">
      <c r="B97" s="31">
        <v>42520</v>
      </c>
      <c r="C97" s="21" t="s">
        <v>501</v>
      </c>
      <c r="D97" s="23"/>
      <c r="E97" s="23"/>
      <c r="F97" s="23"/>
      <c r="G97" s="23"/>
      <c r="H97" s="23">
        <v>100</v>
      </c>
      <c r="I97" s="27"/>
      <c r="J97" s="24">
        <f t="shared" si="6"/>
        <v>58502.64</v>
      </c>
      <c r="K97" s="24">
        <f t="shared" si="7"/>
        <v>44205.279999999999</v>
      </c>
    </row>
    <row r="98" spans="2:11" x14ac:dyDescent="0.25">
      <c r="B98" s="31">
        <v>42520</v>
      </c>
      <c r="C98" s="21" t="s">
        <v>502</v>
      </c>
      <c r="D98" s="23"/>
      <c r="E98" s="23"/>
      <c r="F98" s="23"/>
      <c r="G98" s="23"/>
      <c r="H98" s="23">
        <v>178</v>
      </c>
      <c r="I98" s="27"/>
      <c r="J98" s="24">
        <f t="shared" si="6"/>
        <v>58502.64</v>
      </c>
      <c r="K98" s="24">
        <f t="shared" si="7"/>
        <v>44027.28</v>
      </c>
    </row>
    <row r="99" spans="2:11" ht="15.75" thickBot="1" x14ac:dyDescent="0.3">
      <c r="B99" s="31">
        <v>42520</v>
      </c>
      <c r="C99" s="21" t="s">
        <v>502</v>
      </c>
      <c r="D99" s="23"/>
      <c r="E99" s="23"/>
      <c r="F99" s="23"/>
      <c r="G99" s="23"/>
      <c r="H99" s="23">
        <v>30</v>
      </c>
      <c r="I99" s="27"/>
      <c r="J99" s="24">
        <f t="shared" si="6"/>
        <v>58502.64</v>
      </c>
      <c r="K99" s="24">
        <f t="shared" si="7"/>
        <v>43997.279999999999</v>
      </c>
    </row>
    <row r="100" spans="2:11" ht="15.75" thickBot="1" x14ac:dyDescent="0.3">
      <c r="B100" s="13"/>
      <c r="C100" s="16" t="s">
        <v>0</v>
      </c>
      <c r="D100" s="105">
        <f>SUM(D54:D99)</f>
        <v>103745</v>
      </c>
      <c r="E100" s="103">
        <f>SUM(E54:E99)</f>
        <v>14260.46</v>
      </c>
      <c r="F100" s="114">
        <f>SUM(D100:E100)</f>
        <v>118005.45999999999</v>
      </c>
      <c r="G100" s="114">
        <f>SUM(G54:G99)</f>
        <v>18434</v>
      </c>
      <c r="H100" s="105">
        <f>SUM(H54:H99)</f>
        <v>63713.9</v>
      </c>
      <c r="I100" s="114">
        <f>SUM(G100:H100)</f>
        <v>82147.899999999994</v>
      </c>
      <c r="J100" s="33"/>
      <c r="K100" s="33"/>
    </row>
    <row r="101" spans="2:11" x14ac:dyDescent="0.25">
      <c r="B101" s="111" t="s">
        <v>1</v>
      </c>
      <c r="C101" s="111" t="s">
        <v>2</v>
      </c>
      <c r="D101" s="111" t="s">
        <v>3</v>
      </c>
      <c r="E101" s="111" t="s">
        <v>3</v>
      </c>
      <c r="F101" s="111" t="s">
        <v>323</v>
      </c>
      <c r="G101" s="111" t="s">
        <v>324</v>
      </c>
      <c r="H101" s="81" t="s">
        <v>324</v>
      </c>
      <c r="I101" s="81" t="s">
        <v>323</v>
      </c>
      <c r="J101" s="111" t="s">
        <v>174</v>
      </c>
      <c r="K101" s="81" t="s">
        <v>173</v>
      </c>
    </row>
    <row r="102" spans="2:11" ht="15.75" thickBot="1" x14ac:dyDescent="0.3">
      <c r="B102" s="112"/>
      <c r="C102" s="112"/>
      <c r="D102" s="112" t="s">
        <v>6</v>
      </c>
      <c r="E102" s="112" t="s">
        <v>325</v>
      </c>
      <c r="F102" s="112" t="s">
        <v>3</v>
      </c>
      <c r="G102" s="112" t="s">
        <v>325</v>
      </c>
      <c r="H102" s="113" t="s">
        <v>6</v>
      </c>
      <c r="I102" s="113" t="s">
        <v>5</v>
      </c>
      <c r="J102" s="112"/>
      <c r="K102" s="113"/>
    </row>
    <row r="103" spans="2:11" ht="15.75" thickBot="1" x14ac:dyDescent="0.3">
      <c r="B103" s="13"/>
      <c r="C103" s="16" t="s">
        <v>0</v>
      </c>
      <c r="D103" s="105">
        <v>103745</v>
      </c>
      <c r="E103" s="103">
        <v>14260.46</v>
      </c>
      <c r="F103" s="114">
        <f>SUM(D103:E103)</f>
        <v>118005.45999999999</v>
      </c>
      <c r="G103" s="114">
        <v>18434</v>
      </c>
      <c r="H103" s="105">
        <v>63713.9</v>
      </c>
      <c r="I103" s="114">
        <f>SUM(G103:H103)</f>
        <v>82147.899999999994</v>
      </c>
      <c r="J103" s="33">
        <v>58502.64</v>
      </c>
      <c r="K103" s="33">
        <v>43997.279999999999</v>
      </c>
    </row>
    <row r="104" spans="2:11" x14ac:dyDescent="0.25">
      <c r="B104" s="31">
        <v>42520</v>
      </c>
      <c r="C104" s="21" t="s">
        <v>503</v>
      </c>
      <c r="D104" s="23"/>
      <c r="E104" s="23"/>
      <c r="F104" s="23"/>
      <c r="G104" s="23"/>
      <c r="H104" s="23">
        <v>350</v>
      </c>
      <c r="I104" s="27"/>
      <c r="J104" s="24">
        <f t="shared" ref="J104:J106" si="8">+J103+E104-G104</f>
        <v>58502.64</v>
      </c>
      <c r="K104" s="24">
        <f t="shared" ref="K104:K106" si="9">+K103+D104-H104</f>
        <v>43647.28</v>
      </c>
    </row>
    <row r="105" spans="2:11" x14ac:dyDescent="0.25">
      <c r="B105" s="31">
        <v>42520</v>
      </c>
      <c r="C105" s="21" t="s">
        <v>504</v>
      </c>
      <c r="D105" s="23"/>
      <c r="E105" s="23"/>
      <c r="F105" s="23"/>
      <c r="G105" s="23"/>
      <c r="H105" s="23">
        <v>200</v>
      </c>
      <c r="I105" s="27"/>
      <c r="J105" s="24">
        <f t="shared" si="8"/>
        <v>58502.64</v>
      </c>
      <c r="K105" s="24">
        <f t="shared" si="9"/>
        <v>43447.28</v>
      </c>
    </row>
    <row r="106" spans="2:11" x14ac:dyDescent="0.25">
      <c r="B106" s="31">
        <v>42520</v>
      </c>
      <c r="C106" s="21" t="s">
        <v>505</v>
      </c>
      <c r="D106" s="23"/>
      <c r="E106" s="23"/>
      <c r="F106" s="23"/>
      <c r="G106" s="23"/>
      <c r="H106" s="23">
        <v>1250</v>
      </c>
      <c r="I106" s="27"/>
      <c r="J106" s="24">
        <f t="shared" si="8"/>
        <v>58502.64</v>
      </c>
      <c r="K106" s="24">
        <f t="shared" si="9"/>
        <v>42197.279999999999</v>
      </c>
    </row>
    <row r="107" spans="2:11" x14ac:dyDescent="0.25">
      <c r="B107" s="31">
        <v>42520</v>
      </c>
      <c r="C107" s="21" t="s">
        <v>506</v>
      </c>
      <c r="D107" s="23"/>
      <c r="E107" s="23"/>
      <c r="F107" s="23"/>
      <c r="G107" s="23"/>
      <c r="H107" s="23">
        <v>220</v>
      </c>
      <c r="I107" s="27"/>
      <c r="J107" s="24">
        <f t="shared" ref="J107:J119" si="10">+J106+E107-G107</f>
        <v>58502.64</v>
      </c>
      <c r="K107" s="24">
        <f t="shared" ref="K107:K119" si="11">+K106+D107-H107</f>
        <v>41977.279999999999</v>
      </c>
    </row>
    <row r="108" spans="2:11" x14ac:dyDescent="0.25">
      <c r="B108" s="31">
        <v>42520</v>
      </c>
      <c r="C108" s="21" t="s">
        <v>517</v>
      </c>
      <c r="D108" s="23"/>
      <c r="E108" s="23">
        <v>800</v>
      </c>
      <c r="F108" s="23"/>
      <c r="G108" s="23"/>
      <c r="H108" s="23"/>
      <c r="I108" s="27"/>
      <c r="J108" s="24">
        <f t="shared" si="10"/>
        <v>59302.64</v>
      </c>
      <c r="K108" s="24">
        <f t="shared" si="11"/>
        <v>41977.279999999999</v>
      </c>
    </row>
    <row r="109" spans="2:11" x14ac:dyDescent="0.25">
      <c r="B109" s="31">
        <v>42521</v>
      </c>
      <c r="C109" s="21" t="s">
        <v>507</v>
      </c>
      <c r="D109" s="23"/>
      <c r="E109" s="23"/>
      <c r="F109" s="23"/>
      <c r="G109" s="23"/>
      <c r="H109" s="23">
        <v>650</v>
      </c>
      <c r="I109" s="27"/>
      <c r="J109" s="24">
        <f t="shared" si="10"/>
        <v>59302.64</v>
      </c>
      <c r="K109" s="24">
        <f t="shared" si="11"/>
        <v>41327.279999999999</v>
      </c>
    </row>
    <row r="110" spans="2:11" x14ac:dyDescent="0.25">
      <c r="B110" s="31">
        <v>42521</v>
      </c>
      <c r="C110" s="21" t="s">
        <v>508</v>
      </c>
      <c r="D110" s="23"/>
      <c r="E110" s="23"/>
      <c r="F110" s="23"/>
      <c r="G110" s="23"/>
      <c r="H110" s="23">
        <v>400</v>
      </c>
      <c r="I110" s="27"/>
      <c r="J110" s="24">
        <f t="shared" si="10"/>
        <v>59302.64</v>
      </c>
      <c r="K110" s="24">
        <f t="shared" si="11"/>
        <v>40927.279999999999</v>
      </c>
    </row>
    <row r="111" spans="2:11" x14ac:dyDescent="0.25">
      <c r="B111" s="31">
        <v>42521</v>
      </c>
      <c r="C111" s="21" t="s">
        <v>509</v>
      </c>
      <c r="D111" s="23"/>
      <c r="E111" s="23"/>
      <c r="F111" s="23"/>
      <c r="G111" s="23"/>
      <c r="H111" s="23">
        <v>148</v>
      </c>
      <c r="I111" s="27"/>
      <c r="J111" s="24">
        <f t="shared" si="10"/>
        <v>59302.64</v>
      </c>
      <c r="K111" s="24">
        <f t="shared" si="11"/>
        <v>40779.279999999999</v>
      </c>
    </row>
    <row r="112" spans="2:11" x14ac:dyDescent="0.25">
      <c r="B112" s="31">
        <v>42521</v>
      </c>
      <c r="C112" s="21" t="s">
        <v>510</v>
      </c>
      <c r="D112" s="23"/>
      <c r="E112" s="23"/>
      <c r="F112" s="23"/>
      <c r="G112" s="23"/>
      <c r="H112" s="23">
        <v>450</v>
      </c>
      <c r="I112" s="27"/>
      <c r="J112" s="24">
        <f t="shared" si="10"/>
        <v>59302.64</v>
      </c>
      <c r="K112" s="24">
        <f t="shared" si="11"/>
        <v>40329.279999999999</v>
      </c>
    </row>
    <row r="113" spans="2:14" x14ac:dyDescent="0.25">
      <c r="B113" s="31">
        <v>42521</v>
      </c>
      <c r="C113" s="21" t="s">
        <v>511</v>
      </c>
      <c r="D113" s="23"/>
      <c r="E113" s="23"/>
      <c r="F113" s="23"/>
      <c r="G113" s="23"/>
      <c r="H113" s="23">
        <v>1000</v>
      </c>
      <c r="I113" s="27"/>
      <c r="J113" s="24">
        <f t="shared" si="10"/>
        <v>59302.64</v>
      </c>
      <c r="K113" s="24">
        <f t="shared" si="11"/>
        <v>39329.279999999999</v>
      </c>
    </row>
    <row r="114" spans="2:14" x14ac:dyDescent="0.25">
      <c r="B114" s="31">
        <v>42521</v>
      </c>
      <c r="C114" s="25" t="s">
        <v>567</v>
      </c>
      <c r="D114" s="73"/>
      <c r="E114" s="73"/>
      <c r="F114" s="73"/>
      <c r="G114" s="73"/>
      <c r="H114" s="23">
        <v>2700</v>
      </c>
      <c r="I114" s="27"/>
      <c r="J114" s="24">
        <f t="shared" si="10"/>
        <v>59302.64</v>
      </c>
      <c r="K114" s="24">
        <f t="shared" si="11"/>
        <v>36629.279999999999</v>
      </c>
    </row>
    <row r="115" spans="2:14" x14ac:dyDescent="0.25">
      <c r="B115" s="31">
        <v>42521</v>
      </c>
      <c r="C115" s="25" t="s">
        <v>566</v>
      </c>
      <c r="D115" s="73"/>
      <c r="E115" s="73"/>
      <c r="F115" s="73"/>
      <c r="G115" s="28"/>
      <c r="H115" s="23">
        <v>29000</v>
      </c>
      <c r="I115" s="27"/>
      <c r="J115" s="24">
        <f t="shared" si="10"/>
        <v>59302.64</v>
      </c>
      <c r="K115" s="24">
        <f t="shared" si="11"/>
        <v>7629.2799999999988</v>
      </c>
    </row>
    <row r="116" spans="2:14" x14ac:dyDescent="0.25">
      <c r="B116" s="31">
        <v>42521</v>
      </c>
      <c r="C116" s="25" t="s">
        <v>458</v>
      </c>
      <c r="D116" s="73"/>
      <c r="E116" s="73"/>
      <c r="F116" s="73"/>
      <c r="G116" s="73"/>
      <c r="H116" s="23">
        <v>4000</v>
      </c>
      <c r="I116" s="27"/>
      <c r="J116" s="24">
        <f t="shared" si="10"/>
        <v>59302.64</v>
      </c>
      <c r="K116" s="24">
        <f t="shared" si="11"/>
        <v>3629.2799999999988</v>
      </c>
    </row>
    <row r="117" spans="2:14" x14ac:dyDescent="0.25">
      <c r="B117" s="31">
        <v>42521</v>
      </c>
      <c r="C117" s="21" t="s">
        <v>514</v>
      </c>
      <c r="D117" s="23"/>
      <c r="E117" s="23"/>
      <c r="F117" s="23"/>
      <c r="G117" s="23">
        <v>70</v>
      </c>
      <c r="H117" s="23"/>
      <c r="I117" s="27"/>
      <c r="J117" s="24">
        <f t="shared" si="10"/>
        <v>59232.639999999999</v>
      </c>
      <c r="K117" s="24">
        <f t="shared" si="11"/>
        <v>3629.2799999999988</v>
      </c>
    </row>
    <row r="118" spans="2:14" x14ac:dyDescent="0.25">
      <c r="B118" s="31">
        <v>42521</v>
      </c>
      <c r="C118" s="21" t="s">
        <v>515</v>
      </c>
      <c r="D118" s="23"/>
      <c r="E118" s="23"/>
      <c r="F118" s="23"/>
      <c r="G118" s="23">
        <v>11.2</v>
      </c>
      <c r="H118" s="23"/>
      <c r="I118" s="27"/>
      <c r="J118" s="24">
        <f t="shared" si="10"/>
        <v>59221.440000000002</v>
      </c>
      <c r="K118" s="24">
        <f t="shared" si="11"/>
        <v>3629.2799999999988</v>
      </c>
    </row>
    <row r="119" spans="2:14" ht="15.75" thickBot="1" x14ac:dyDescent="0.3">
      <c r="B119" s="31"/>
      <c r="C119" s="21"/>
      <c r="D119" s="23"/>
      <c r="E119" s="23"/>
      <c r="F119" s="23"/>
      <c r="G119" s="23"/>
      <c r="H119" s="92"/>
      <c r="I119" s="27"/>
      <c r="J119" s="24">
        <f t="shared" si="10"/>
        <v>59221.440000000002</v>
      </c>
      <c r="K119" s="24">
        <f t="shared" si="11"/>
        <v>3629.2799999999988</v>
      </c>
    </row>
    <row r="120" spans="2:14" ht="15.75" thickBot="1" x14ac:dyDescent="0.3">
      <c r="B120" s="13"/>
      <c r="C120" s="16" t="s">
        <v>0</v>
      </c>
      <c r="D120" s="105">
        <f>SUM(D103:D119)</f>
        <v>103745</v>
      </c>
      <c r="E120" s="103">
        <f>SUM(E103:E119)</f>
        <v>15060.46</v>
      </c>
      <c r="F120" s="114">
        <f>SUM(D120:E120)</f>
        <v>118805.45999999999</v>
      </c>
      <c r="G120" s="114">
        <f>SUM(G103:G119)</f>
        <v>18515.2</v>
      </c>
      <c r="H120" s="105">
        <f>SUM(H103:H119)</f>
        <v>104081.9</v>
      </c>
      <c r="I120" s="114">
        <f>SUM(G120:H120)</f>
        <v>122597.09999999999</v>
      </c>
      <c r="J120" s="33"/>
      <c r="K120" s="33"/>
    </row>
    <row r="121" spans="2:14" ht="15.75" thickBot="1" x14ac:dyDescent="0.3">
      <c r="D121" s="1"/>
      <c r="E121" s="1"/>
      <c r="F121" s="1"/>
      <c r="G121" s="1"/>
      <c r="J121" s="1"/>
    </row>
    <row r="122" spans="2:14" ht="15.75" thickBot="1" x14ac:dyDescent="0.3">
      <c r="D122" s="1"/>
      <c r="E122" s="1"/>
      <c r="F122" s="1"/>
      <c r="G122" s="1"/>
      <c r="I122" s="117" t="s">
        <v>174</v>
      </c>
      <c r="J122" s="117" t="s">
        <v>173</v>
      </c>
      <c r="K122" s="141" t="s">
        <v>0</v>
      </c>
    </row>
    <row r="123" spans="2:14" ht="15.75" thickBot="1" x14ac:dyDescent="0.3">
      <c r="D123" s="1"/>
      <c r="E123" s="1"/>
      <c r="F123" s="1"/>
      <c r="G123" s="1"/>
      <c r="I123" s="39">
        <v>59221.440000000002</v>
      </c>
      <c r="J123" s="39">
        <v>3629.28</v>
      </c>
      <c r="K123" s="33">
        <f>SUM(I123:J123)</f>
        <v>62850.720000000001</v>
      </c>
    </row>
    <row r="124" spans="2:14" x14ac:dyDescent="0.25">
      <c r="D124" s="1"/>
      <c r="E124" s="1"/>
      <c r="F124" s="1"/>
      <c r="G124" s="1"/>
      <c r="J124" s="1"/>
    </row>
    <row r="125" spans="2:14" x14ac:dyDescent="0.25">
      <c r="D125" s="1"/>
      <c r="E125" s="1"/>
      <c r="F125" s="1"/>
      <c r="G125" s="1"/>
      <c r="J125" s="1"/>
    </row>
    <row r="126" spans="2:14" x14ac:dyDescent="0.25">
      <c r="D126" s="1"/>
      <c r="E126" s="1"/>
      <c r="F126" s="1"/>
      <c r="G126" s="1"/>
      <c r="J126" s="1"/>
    </row>
    <row r="127" spans="2:14" x14ac:dyDescent="0.25">
      <c r="D127" s="1"/>
      <c r="E127" s="1"/>
      <c r="F127" s="1"/>
      <c r="G127" s="1"/>
      <c r="J127" s="1"/>
    </row>
    <row r="128" spans="2:14" x14ac:dyDescent="0.25">
      <c r="D128" s="1"/>
      <c r="E128" s="1"/>
      <c r="F128" s="1"/>
      <c r="G128" s="1"/>
      <c r="J128" s="1"/>
      <c r="N128" s="1"/>
    </row>
    <row r="129" spans="4:10" x14ac:dyDescent="0.25">
      <c r="D129" s="1"/>
      <c r="E129" s="1"/>
      <c r="F129" s="1"/>
      <c r="G129" s="1"/>
      <c r="J129" s="1"/>
    </row>
    <row r="130" spans="4:10" x14ac:dyDescent="0.25">
      <c r="D130" s="1"/>
      <c r="E130" s="1"/>
      <c r="F130" s="1"/>
      <c r="G130" s="1"/>
      <c r="J130" s="1"/>
    </row>
    <row r="131" spans="4:10" x14ac:dyDescent="0.25">
      <c r="D131" s="1"/>
      <c r="E131" s="1"/>
      <c r="F131" s="1"/>
      <c r="G131" s="1"/>
      <c r="J131" s="1"/>
    </row>
    <row r="132" spans="4:10" x14ac:dyDescent="0.25">
      <c r="D132" s="1"/>
      <c r="E132" s="1"/>
      <c r="F132" s="1"/>
      <c r="G132" s="1"/>
      <c r="J132" s="1"/>
    </row>
    <row r="133" spans="4:10" x14ac:dyDescent="0.25">
      <c r="D133" s="1"/>
      <c r="E133" s="1"/>
      <c r="F133" s="1"/>
      <c r="G133" s="1"/>
      <c r="J133" s="1"/>
    </row>
    <row r="134" spans="4:10" x14ac:dyDescent="0.25">
      <c r="D134" s="1"/>
      <c r="E134" s="1"/>
      <c r="F134" s="1"/>
      <c r="G134" s="1"/>
      <c r="J134" s="1"/>
    </row>
    <row r="135" spans="4:10" x14ac:dyDescent="0.25">
      <c r="D135" s="1"/>
      <c r="E135" s="1"/>
      <c r="F135" s="1"/>
      <c r="G135" s="1"/>
      <c r="J135" s="1"/>
    </row>
    <row r="136" spans="4:10" x14ac:dyDescent="0.25">
      <c r="D136" s="1"/>
      <c r="E136" s="1"/>
      <c r="F136" s="1"/>
      <c r="G136" s="1"/>
      <c r="J136" s="1"/>
    </row>
    <row r="137" spans="4:10" x14ac:dyDescent="0.25">
      <c r="D137" s="1"/>
      <c r="E137" s="1"/>
      <c r="F137" s="1"/>
      <c r="G137" s="1"/>
      <c r="J137" s="1"/>
    </row>
    <row r="138" spans="4:10" x14ac:dyDescent="0.25">
      <c r="D138" s="1"/>
      <c r="E138" s="1"/>
      <c r="F138" s="1"/>
      <c r="G138" s="1"/>
      <c r="J138" s="1"/>
    </row>
    <row r="139" spans="4:10" x14ac:dyDescent="0.25">
      <c r="D139" s="1"/>
      <c r="E139" s="1"/>
      <c r="F139" s="1"/>
      <c r="G139" s="1"/>
      <c r="J139" s="1"/>
    </row>
    <row r="140" spans="4:10" x14ac:dyDescent="0.25">
      <c r="D140" s="1"/>
      <c r="E140" s="1"/>
      <c r="F140" s="1"/>
      <c r="G140" s="1"/>
      <c r="J140" s="1"/>
    </row>
    <row r="141" spans="4:10" x14ac:dyDescent="0.25">
      <c r="D141" s="1"/>
      <c r="E141" s="1"/>
      <c r="F141" s="1"/>
      <c r="G141" s="1"/>
      <c r="J141" s="1"/>
    </row>
    <row r="142" spans="4:10" x14ac:dyDescent="0.25">
      <c r="D142" s="1"/>
      <c r="E142" s="1"/>
      <c r="F142" s="1"/>
      <c r="G142" s="1"/>
      <c r="J142" s="1"/>
    </row>
    <row r="143" spans="4:10" x14ac:dyDescent="0.25">
      <c r="D143" s="1"/>
      <c r="E143" s="1"/>
      <c r="F143" s="1"/>
      <c r="G143" s="1"/>
      <c r="J143" s="1"/>
    </row>
    <row r="144" spans="4:10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  <row r="169" spans="4:10" x14ac:dyDescent="0.25">
      <c r="D169" s="1"/>
      <c r="E169" s="1"/>
      <c r="F169" s="1"/>
      <c r="G169" s="1"/>
      <c r="J169" s="1"/>
    </row>
    <row r="170" spans="4:10" x14ac:dyDescent="0.25">
      <c r="D170" s="1"/>
      <c r="E170" s="1"/>
      <c r="F170" s="1"/>
      <c r="G170" s="1"/>
      <c r="J170" s="1"/>
    </row>
    <row r="171" spans="4:10" x14ac:dyDescent="0.25">
      <c r="D171" s="1"/>
      <c r="E171" s="1"/>
      <c r="F171" s="1"/>
      <c r="G171" s="1"/>
      <c r="J171" s="1"/>
    </row>
    <row r="172" spans="4:10" x14ac:dyDescent="0.25">
      <c r="D172" s="1"/>
      <c r="E172" s="1"/>
      <c r="F172" s="1"/>
      <c r="G172" s="1"/>
      <c r="J172" s="1"/>
    </row>
    <row r="173" spans="4:10" x14ac:dyDescent="0.25">
      <c r="D173" s="1"/>
      <c r="E173" s="1"/>
      <c r="F173" s="1"/>
      <c r="G173" s="1"/>
      <c r="J173" s="1"/>
    </row>
    <row r="174" spans="4:10" x14ac:dyDescent="0.25">
      <c r="D174" s="1"/>
      <c r="E174" s="1"/>
      <c r="F174" s="1"/>
      <c r="G174" s="1"/>
      <c r="J174" s="1"/>
    </row>
    <row r="175" spans="4:10" x14ac:dyDescent="0.25">
      <c r="D175" s="1"/>
      <c r="E175" s="1"/>
      <c r="F175" s="1"/>
      <c r="G175" s="1"/>
      <c r="J175" s="1"/>
    </row>
    <row r="176" spans="4:10" x14ac:dyDescent="0.25">
      <c r="D176" s="1"/>
      <c r="E176" s="1"/>
      <c r="F176" s="1"/>
      <c r="G176" s="1"/>
      <c r="J176" s="1"/>
    </row>
  </sheetData>
  <mergeCells count="1">
    <mergeCell ref="B2:K2"/>
  </mergeCells>
  <printOptions horizontalCentered="1"/>
  <pageMargins left="0.39370078740157483" right="0.23622047244094491" top="0" bottom="0" header="0.31496062992125984" footer="0.31496062992125984"/>
  <pageSetup paperSize="9" scale="80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B1:K137"/>
  <sheetViews>
    <sheetView zoomScaleNormal="100" workbookViewId="0">
      <pane ySplit="3" topLeftCell="A131" activePane="bottomLeft" state="frozen"/>
      <selection pane="bottomLeft" activeCell="C146" sqref="C146"/>
    </sheetView>
  </sheetViews>
  <sheetFormatPr baseColWidth="10" defaultRowHeight="15" x14ac:dyDescent="0.25"/>
  <cols>
    <col min="1" max="2" width="10.7109375" customWidth="1"/>
    <col min="3" max="3" width="69.28515625" customWidth="1"/>
    <col min="4" max="11" width="10.140625" customWidth="1"/>
  </cols>
  <sheetData>
    <row r="1" spans="2:11" ht="16.5" thickBot="1" x14ac:dyDescent="0.3">
      <c r="B1" s="125"/>
      <c r="C1" s="127" t="s">
        <v>625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4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42521</v>
      </c>
      <c r="C4" s="108" t="s">
        <v>518</v>
      </c>
      <c r="D4" s="109"/>
      <c r="E4" s="106"/>
      <c r="F4" s="106"/>
      <c r="G4" s="106"/>
      <c r="H4" s="30"/>
      <c r="I4" s="107"/>
      <c r="J4" s="116">
        <v>59221.440000000002</v>
      </c>
      <c r="K4" s="110">
        <v>3629.28</v>
      </c>
    </row>
    <row r="5" spans="2:11" x14ac:dyDescent="0.25">
      <c r="B5" s="36">
        <v>42522</v>
      </c>
      <c r="C5" s="21" t="s">
        <v>519</v>
      </c>
      <c r="D5" s="23"/>
      <c r="E5" s="23"/>
      <c r="F5" s="23"/>
      <c r="G5" s="23"/>
      <c r="H5" s="23">
        <v>255</v>
      </c>
      <c r="I5" s="27"/>
      <c r="J5" s="24">
        <f>+J4+E5-G5</f>
        <v>59221.440000000002</v>
      </c>
      <c r="K5" s="24">
        <f t="shared" ref="K5:K21" si="0">+K4+D5-H5</f>
        <v>3374.28</v>
      </c>
    </row>
    <row r="6" spans="2:11" x14ac:dyDescent="0.25">
      <c r="B6" s="36">
        <v>42522</v>
      </c>
      <c r="C6" s="25" t="s">
        <v>520</v>
      </c>
      <c r="D6" s="23"/>
      <c r="E6" s="23"/>
      <c r="F6" s="23"/>
      <c r="G6" s="23"/>
      <c r="H6" s="23">
        <v>40</v>
      </c>
      <c r="I6" s="27"/>
      <c r="J6" s="24">
        <f t="shared" ref="J6:J25" si="1">+J5+E6-G6</f>
        <v>59221.440000000002</v>
      </c>
      <c r="K6" s="24">
        <f t="shared" si="0"/>
        <v>3334.28</v>
      </c>
    </row>
    <row r="7" spans="2:11" x14ac:dyDescent="0.25">
      <c r="B7" s="31">
        <v>42522</v>
      </c>
      <c r="C7" s="21" t="s">
        <v>521</v>
      </c>
      <c r="D7" s="23"/>
      <c r="E7" s="23"/>
      <c r="F7" s="23"/>
      <c r="G7" s="23"/>
      <c r="H7" s="92">
        <v>60</v>
      </c>
      <c r="I7" s="27"/>
      <c r="J7" s="24">
        <f t="shared" si="1"/>
        <v>59221.440000000002</v>
      </c>
      <c r="K7" s="24">
        <f t="shared" si="0"/>
        <v>3274.28</v>
      </c>
    </row>
    <row r="8" spans="2:11" x14ac:dyDescent="0.25">
      <c r="B8" s="31">
        <v>42522</v>
      </c>
      <c r="C8" s="25" t="s">
        <v>522</v>
      </c>
      <c r="D8" s="23"/>
      <c r="E8" s="23"/>
      <c r="F8" s="23"/>
      <c r="G8" s="23"/>
      <c r="H8" s="23">
        <v>100</v>
      </c>
      <c r="I8" s="27"/>
      <c r="J8" s="24">
        <f t="shared" si="1"/>
        <v>59221.440000000002</v>
      </c>
      <c r="K8" s="24">
        <f t="shared" si="0"/>
        <v>3174.28</v>
      </c>
    </row>
    <row r="9" spans="2:11" x14ac:dyDescent="0.25">
      <c r="B9" s="31">
        <v>42522</v>
      </c>
      <c r="C9" s="21" t="s">
        <v>542</v>
      </c>
      <c r="D9" s="23"/>
      <c r="E9" s="23"/>
      <c r="F9" s="23"/>
      <c r="G9" s="23">
        <v>3665</v>
      </c>
      <c r="H9" s="92"/>
      <c r="I9" s="27"/>
      <c r="J9" s="24">
        <f t="shared" si="1"/>
        <v>55556.44</v>
      </c>
      <c r="K9" s="24">
        <f t="shared" si="0"/>
        <v>3174.28</v>
      </c>
    </row>
    <row r="10" spans="2:11" x14ac:dyDescent="0.25">
      <c r="B10" s="31">
        <v>42523</v>
      </c>
      <c r="C10" s="21" t="s">
        <v>523</v>
      </c>
      <c r="D10" s="23"/>
      <c r="E10" s="23"/>
      <c r="F10" s="23"/>
      <c r="G10" s="23"/>
      <c r="H10" s="23">
        <v>31.8</v>
      </c>
      <c r="I10" s="27"/>
      <c r="J10" s="24">
        <f t="shared" si="1"/>
        <v>55556.44</v>
      </c>
      <c r="K10" s="24">
        <f t="shared" si="0"/>
        <v>3142.48</v>
      </c>
    </row>
    <row r="11" spans="2:11" x14ac:dyDescent="0.25">
      <c r="B11" s="31">
        <v>42523</v>
      </c>
      <c r="C11" s="21" t="s">
        <v>519</v>
      </c>
      <c r="D11" s="23"/>
      <c r="E11" s="23"/>
      <c r="F11" s="23"/>
      <c r="G11" s="23"/>
      <c r="H11" s="23">
        <v>255</v>
      </c>
      <c r="I11" s="27"/>
      <c r="J11" s="24">
        <f t="shared" si="1"/>
        <v>55556.44</v>
      </c>
      <c r="K11" s="24">
        <f t="shared" si="0"/>
        <v>2887.48</v>
      </c>
    </row>
    <row r="12" spans="2:11" x14ac:dyDescent="0.25">
      <c r="B12" s="31">
        <v>42524</v>
      </c>
      <c r="C12" s="21" t="s">
        <v>41</v>
      </c>
      <c r="D12" s="23"/>
      <c r="E12" s="23"/>
      <c r="F12" s="23"/>
      <c r="G12" s="23"/>
      <c r="H12" s="92">
        <v>142</v>
      </c>
      <c r="I12" s="27"/>
      <c r="J12" s="24">
        <f t="shared" si="1"/>
        <v>55556.44</v>
      </c>
      <c r="K12" s="24">
        <f t="shared" si="0"/>
        <v>2745.48</v>
      </c>
    </row>
    <row r="13" spans="2:11" x14ac:dyDescent="0.25">
      <c r="B13" s="31">
        <v>42524</v>
      </c>
      <c r="C13" s="21" t="s">
        <v>524</v>
      </c>
      <c r="D13" s="23"/>
      <c r="E13" s="23"/>
      <c r="F13" s="23"/>
      <c r="G13" s="23"/>
      <c r="H13" s="23">
        <v>90</v>
      </c>
      <c r="I13" s="27"/>
      <c r="J13" s="24">
        <f t="shared" si="1"/>
        <v>55556.44</v>
      </c>
      <c r="K13" s="24">
        <f t="shared" si="0"/>
        <v>2655.48</v>
      </c>
    </row>
    <row r="14" spans="2:11" x14ac:dyDescent="0.25">
      <c r="B14" s="31">
        <v>42524</v>
      </c>
      <c r="C14" s="21" t="s">
        <v>41</v>
      </c>
      <c r="D14" s="23"/>
      <c r="E14" s="23"/>
      <c r="F14" s="23"/>
      <c r="G14" s="23"/>
      <c r="H14" s="92">
        <v>142</v>
      </c>
      <c r="I14" s="27"/>
      <c r="J14" s="24">
        <f t="shared" si="1"/>
        <v>55556.44</v>
      </c>
      <c r="K14" s="24">
        <f t="shared" si="0"/>
        <v>2513.48</v>
      </c>
    </row>
    <row r="15" spans="2:11" x14ac:dyDescent="0.25">
      <c r="B15" s="31">
        <v>42524</v>
      </c>
      <c r="C15" s="21" t="s">
        <v>525</v>
      </c>
      <c r="D15" s="23"/>
      <c r="E15" s="23"/>
      <c r="F15" s="23"/>
      <c r="G15" s="23"/>
      <c r="H15" s="23">
        <v>197.4</v>
      </c>
      <c r="I15" s="27"/>
      <c r="J15" s="24">
        <f t="shared" si="1"/>
        <v>55556.44</v>
      </c>
      <c r="K15" s="24">
        <f t="shared" si="0"/>
        <v>2316.08</v>
      </c>
    </row>
    <row r="16" spans="2:11" x14ac:dyDescent="0.25">
      <c r="B16" s="31">
        <v>42525</v>
      </c>
      <c r="C16" s="21" t="s">
        <v>523</v>
      </c>
      <c r="D16" s="23"/>
      <c r="E16" s="23"/>
      <c r="F16" s="23"/>
      <c r="G16" s="23"/>
      <c r="H16" s="23">
        <v>218.78</v>
      </c>
      <c r="I16" s="27"/>
      <c r="J16" s="24">
        <f t="shared" si="1"/>
        <v>55556.44</v>
      </c>
      <c r="K16" s="24">
        <f t="shared" si="0"/>
        <v>2097.2999999999997</v>
      </c>
    </row>
    <row r="17" spans="2:11" x14ac:dyDescent="0.25">
      <c r="B17" s="31">
        <v>42525</v>
      </c>
      <c r="C17" s="21" t="s">
        <v>526</v>
      </c>
      <c r="D17" s="23"/>
      <c r="E17" s="23"/>
      <c r="F17" s="23"/>
      <c r="G17" s="23"/>
      <c r="H17" s="23">
        <v>15</v>
      </c>
      <c r="I17" s="27"/>
      <c r="J17" s="24">
        <f t="shared" si="1"/>
        <v>55556.44</v>
      </c>
      <c r="K17" s="24">
        <f t="shared" si="0"/>
        <v>2082.2999999999997</v>
      </c>
    </row>
    <row r="18" spans="2:11" x14ac:dyDescent="0.25">
      <c r="B18" s="31">
        <v>42526</v>
      </c>
      <c r="C18" s="21" t="s">
        <v>527</v>
      </c>
      <c r="D18" s="23"/>
      <c r="E18" s="23"/>
      <c r="F18" s="23"/>
      <c r="G18" s="23"/>
      <c r="H18" s="23">
        <v>90</v>
      </c>
      <c r="I18" s="27"/>
      <c r="J18" s="24">
        <f t="shared" si="1"/>
        <v>55556.44</v>
      </c>
      <c r="K18" s="24">
        <f t="shared" si="0"/>
        <v>1992.2999999999997</v>
      </c>
    </row>
    <row r="19" spans="2:11" x14ac:dyDescent="0.25">
      <c r="B19" s="31">
        <v>42526</v>
      </c>
      <c r="C19" s="21" t="s">
        <v>528</v>
      </c>
      <c r="D19" s="23"/>
      <c r="E19" s="23"/>
      <c r="F19" s="23"/>
      <c r="G19" s="23"/>
      <c r="H19" s="23">
        <v>89</v>
      </c>
      <c r="I19" s="27"/>
      <c r="J19" s="24">
        <f t="shared" si="1"/>
        <v>55556.44</v>
      </c>
      <c r="K19" s="24">
        <f t="shared" si="0"/>
        <v>1903.2999999999997</v>
      </c>
    </row>
    <row r="20" spans="2:11" x14ac:dyDescent="0.25">
      <c r="B20" s="31">
        <v>42526</v>
      </c>
      <c r="C20" s="21" t="s">
        <v>529</v>
      </c>
      <c r="D20" s="23"/>
      <c r="E20" s="23"/>
      <c r="F20" s="23"/>
      <c r="G20" s="23"/>
      <c r="H20" s="23">
        <v>5</v>
      </c>
      <c r="I20" s="27"/>
      <c r="J20" s="24">
        <f t="shared" si="1"/>
        <v>55556.44</v>
      </c>
      <c r="K20" s="24">
        <f t="shared" si="0"/>
        <v>1898.2999999999997</v>
      </c>
    </row>
    <row r="21" spans="2:11" x14ac:dyDescent="0.25">
      <c r="B21" s="31">
        <v>42526</v>
      </c>
      <c r="C21" s="21" t="s">
        <v>530</v>
      </c>
      <c r="D21" s="23"/>
      <c r="E21" s="23"/>
      <c r="F21" s="23"/>
      <c r="G21" s="23"/>
      <c r="H21" s="92">
        <v>100</v>
      </c>
      <c r="I21" s="27"/>
      <c r="J21" s="24">
        <f t="shared" si="1"/>
        <v>55556.44</v>
      </c>
      <c r="K21" s="24">
        <f t="shared" si="0"/>
        <v>1798.2999999999997</v>
      </c>
    </row>
    <row r="22" spans="2:11" x14ac:dyDescent="0.25">
      <c r="B22" s="31">
        <v>42527</v>
      </c>
      <c r="C22" s="21" t="s">
        <v>531</v>
      </c>
      <c r="D22" s="23"/>
      <c r="E22" s="23"/>
      <c r="F22" s="23"/>
      <c r="G22" s="23"/>
      <c r="H22" s="92">
        <v>78</v>
      </c>
      <c r="I22" s="27"/>
      <c r="J22" s="24">
        <f t="shared" si="1"/>
        <v>55556.44</v>
      </c>
      <c r="K22" s="24">
        <f t="shared" ref="K22" si="2">+K21+D22-H22</f>
        <v>1720.2999999999997</v>
      </c>
    </row>
    <row r="23" spans="2:11" x14ac:dyDescent="0.25">
      <c r="B23" s="31">
        <v>42527</v>
      </c>
      <c r="C23" s="21" t="s">
        <v>532</v>
      </c>
      <c r="D23" s="23"/>
      <c r="E23" s="23"/>
      <c r="F23" s="23"/>
      <c r="G23" s="23"/>
      <c r="H23" s="23">
        <v>190</v>
      </c>
      <c r="I23" s="27"/>
      <c r="J23" s="24">
        <f t="shared" si="1"/>
        <v>55556.44</v>
      </c>
      <c r="K23" s="24">
        <f>+K22+D23-H23</f>
        <v>1530.2999999999997</v>
      </c>
    </row>
    <row r="24" spans="2:11" x14ac:dyDescent="0.25">
      <c r="B24" s="31">
        <v>42527</v>
      </c>
      <c r="C24" s="21" t="s">
        <v>533</v>
      </c>
      <c r="D24" s="23"/>
      <c r="E24" s="23"/>
      <c r="F24" s="23"/>
      <c r="G24" s="23"/>
      <c r="H24" s="23">
        <v>1636.07</v>
      </c>
      <c r="I24" s="27"/>
      <c r="J24" s="24">
        <f t="shared" si="1"/>
        <v>55556.44</v>
      </c>
      <c r="K24" s="24">
        <f>+K23+D24-H24</f>
        <v>-105.77000000000021</v>
      </c>
    </row>
    <row r="25" spans="2:11" x14ac:dyDescent="0.25">
      <c r="B25" s="31">
        <v>42527</v>
      </c>
      <c r="C25" s="21" t="s">
        <v>534</v>
      </c>
      <c r="D25" s="23">
        <v>27825</v>
      </c>
      <c r="E25" s="23"/>
      <c r="F25" s="23"/>
      <c r="G25" s="23"/>
      <c r="H25" s="23"/>
      <c r="I25" s="27"/>
      <c r="J25" s="24">
        <f t="shared" si="1"/>
        <v>55556.44</v>
      </c>
      <c r="K25" s="24">
        <f>+K24+D25-H25</f>
        <v>27719.23</v>
      </c>
    </row>
    <row r="26" spans="2:11" x14ac:dyDescent="0.25">
      <c r="B26" s="31">
        <v>42528</v>
      </c>
      <c r="C26" s="21" t="s">
        <v>598</v>
      </c>
      <c r="D26" s="23"/>
      <c r="E26" s="23">
        <v>300.45999999999998</v>
      </c>
      <c r="F26" s="23"/>
      <c r="G26" s="23"/>
      <c r="H26" s="23"/>
      <c r="I26" s="27"/>
      <c r="J26" s="24">
        <f t="shared" ref="J26:J46" si="3">+J25+E26-G26</f>
        <v>55856.9</v>
      </c>
      <c r="K26" s="24">
        <f t="shared" ref="K26:K45" si="4">+K25+D26-H26</f>
        <v>27719.23</v>
      </c>
    </row>
    <row r="27" spans="2:11" x14ac:dyDescent="0.25">
      <c r="B27" s="31">
        <v>42528</v>
      </c>
      <c r="C27" s="21" t="s">
        <v>535</v>
      </c>
      <c r="D27" s="23"/>
      <c r="E27" s="23"/>
      <c r="F27" s="23"/>
      <c r="G27" s="23"/>
      <c r="H27" s="23">
        <v>1137</v>
      </c>
      <c r="I27" s="27"/>
      <c r="J27" s="24">
        <f t="shared" si="3"/>
        <v>55856.9</v>
      </c>
      <c r="K27" s="24">
        <f t="shared" ref="K27:K39" si="5">+K26+D27-H27</f>
        <v>26582.23</v>
      </c>
    </row>
    <row r="28" spans="2:11" x14ac:dyDescent="0.25">
      <c r="B28" s="31">
        <v>42528</v>
      </c>
      <c r="C28" s="21" t="s">
        <v>536</v>
      </c>
      <c r="D28" s="23"/>
      <c r="E28" s="23"/>
      <c r="F28" s="23"/>
      <c r="G28" s="23"/>
      <c r="H28" s="23">
        <v>90</v>
      </c>
      <c r="I28" s="27"/>
      <c r="J28" s="24">
        <f t="shared" si="3"/>
        <v>55856.9</v>
      </c>
      <c r="K28" s="24">
        <f t="shared" si="5"/>
        <v>26492.23</v>
      </c>
    </row>
    <row r="29" spans="2:11" x14ac:dyDescent="0.25">
      <c r="B29" s="31">
        <v>42528</v>
      </c>
      <c r="C29" s="21" t="s">
        <v>537</v>
      </c>
      <c r="D29" s="23"/>
      <c r="E29" s="23"/>
      <c r="F29" s="23"/>
      <c r="G29" s="23"/>
      <c r="H29" s="23">
        <v>37.5</v>
      </c>
      <c r="I29" s="27"/>
      <c r="J29" s="24">
        <f t="shared" si="3"/>
        <v>55856.9</v>
      </c>
      <c r="K29" s="24">
        <f t="shared" si="5"/>
        <v>26454.73</v>
      </c>
    </row>
    <row r="30" spans="2:11" x14ac:dyDescent="0.25">
      <c r="B30" s="31">
        <v>42528</v>
      </c>
      <c r="C30" s="21" t="s">
        <v>538</v>
      </c>
      <c r="D30" s="23"/>
      <c r="E30" s="23"/>
      <c r="F30" s="23"/>
      <c r="G30" s="23"/>
      <c r="H30" s="92">
        <v>66</v>
      </c>
      <c r="I30" s="27"/>
      <c r="J30" s="24">
        <f t="shared" si="3"/>
        <v>55856.9</v>
      </c>
      <c r="K30" s="24">
        <f t="shared" si="5"/>
        <v>26388.73</v>
      </c>
    </row>
    <row r="31" spans="2:11" x14ac:dyDescent="0.25">
      <c r="B31" s="31">
        <v>42528</v>
      </c>
      <c r="C31" s="21" t="s">
        <v>539</v>
      </c>
      <c r="D31" s="23"/>
      <c r="E31" s="23"/>
      <c r="F31" s="23"/>
      <c r="G31" s="23"/>
      <c r="H31" s="23">
        <v>88</v>
      </c>
      <c r="I31" s="27"/>
      <c r="J31" s="24">
        <f t="shared" si="3"/>
        <v>55856.9</v>
      </c>
      <c r="K31" s="24">
        <f t="shared" si="5"/>
        <v>26300.73</v>
      </c>
    </row>
    <row r="32" spans="2:11" x14ac:dyDescent="0.25">
      <c r="B32" s="31">
        <v>42528</v>
      </c>
      <c r="C32" s="21" t="s">
        <v>540</v>
      </c>
      <c r="D32" s="23"/>
      <c r="E32" s="23"/>
      <c r="F32" s="23"/>
      <c r="G32" s="23"/>
      <c r="H32" s="23">
        <v>44</v>
      </c>
      <c r="I32" s="27"/>
      <c r="J32" s="24">
        <f t="shared" si="3"/>
        <v>55856.9</v>
      </c>
      <c r="K32" s="24">
        <f t="shared" si="5"/>
        <v>26256.73</v>
      </c>
    </row>
    <row r="33" spans="2:11" x14ac:dyDescent="0.25">
      <c r="B33" s="31">
        <v>42528</v>
      </c>
      <c r="C33" s="21" t="s">
        <v>540</v>
      </c>
      <c r="D33" s="23"/>
      <c r="E33" s="23"/>
      <c r="F33" s="23"/>
      <c r="G33" s="23"/>
      <c r="H33" s="23">
        <v>67.2</v>
      </c>
      <c r="I33" s="27"/>
      <c r="J33" s="24">
        <f t="shared" si="3"/>
        <v>55856.9</v>
      </c>
      <c r="K33" s="24">
        <f t="shared" si="5"/>
        <v>26189.53</v>
      </c>
    </row>
    <row r="34" spans="2:11" x14ac:dyDescent="0.25">
      <c r="B34" s="31">
        <v>42529</v>
      </c>
      <c r="C34" s="21" t="s">
        <v>541</v>
      </c>
      <c r="D34" s="23"/>
      <c r="E34" s="23"/>
      <c r="F34" s="23"/>
      <c r="G34" s="23">
        <v>2900</v>
      </c>
      <c r="H34" s="23"/>
      <c r="I34" s="27"/>
      <c r="J34" s="24">
        <f t="shared" si="3"/>
        <v>52956.9</v>
      </c>
      <c r="K34" s="24">
        <f t="shared" si="5"/>
        <v>26189.53</v>
      </c>
    </row>
    <row r="35" spans="2:11" x14ac:dyDescent="0.25">
      <c r="B35" s="31">
        <v>42529</v>
      </c>
      <c r="C35" s="21" t="s">
        <v>287</v>
      </c>
      <c r="D35" s="23"/>
      <c r="E35" s="23"/>
      <c r="F35" s="23"/>
      <c r="G35" s="23"/>
      <c r="H35" s="23">
        <v>175</v>
      </c>
      <c r="I35" s="27"/>
      <c r="J35" s="24">
        <f t="shared" si="3"/>
        <v>52956.9</v>
      </c>
      <c r="K35" s="24">
        <f t="shared" si="5"/>
        <v>26014.53</v>
      </c>
    </row>
    <row r="36" spans="2:11" x14ac:dyDescent="0.25">
      <c r="B36" s="31">
        <v>42529</v>
      </c>
      <c r="C36" s="21" t="s">
        <v>543</v>
      </c>
      <c r="D36" s="23"/>
      <c r="E36" s="23"/>
      <c r="F36" s="23"/>
      <c r="G36" s="23"/>
      <c r="H36" s="23">
        <v>100</v>
      </c>
      <c r="I36" s="27"/>
      <c r="J36" s="24">
        <f t="shared" si="3"/>
        <v>52956.9</v>
      </c>
      <c r="K36" s="24">
        <f t="shared" si="5"/>
        <v>25914.53</v>
      </c>
    </row>
    <row r="37" spans="2:11" x14ac:dyDescent="0.25">
      <c r="B37" s="31">
        <v>42529</v>
      </c>
      <c r="C37" s="21" t="s">
        <v>544</v>
      </c>
      <c r="D37" s="23"/>
      <c r="E37" s="23"/>
      <c r="F37" s="23"/>
      <c r="G37" s="23"/>
      <c r="H37" s="23">
        <v>420</v>
      </c>
      <c r="I37" s="27"/>
      <c r="J37" s="24">
        <f t="shared" si="3"/>
        <v>52956.9</v>
      </c>
      <c r="K37" s="24">
        <f t="shared" si="5"/>
        <v>25494.53</v>
      </c>
    </row>
    <row r="38" spans="2:11" x14ac:dyDescent="0.25">
      <c r="B38" s="31">
        <v>42529</v>
      </c>
      <c r="C38" s="21" t="s">
        <v>545</v>
      </c>
      <c r="D38" s="23"/>
      <c r="E38" s="23"/>
      <c r="F38" s="23"/>
      <c r="G38" s="23"/>
      <c r="H38" s="23">
        <v>270</v>
      </c>
      <c r="I38" s="27"/>
      <c r="J38" s="24">
        <f t="shared" si="3"/>
        <v>52956.9</v>
      </c>
      <c r="K38" s="24">
        <f t="shared" si="5"/>
        <v>25224.53</v>
      </c>
    </row>
    <row r="39" spans="2:11" x14ac:dyDescent="0.25">
      <c r="B39" s="31">
        <v>42529</v>
      </c>
      <c r="C39" s="21" t="s">
        <v>546</v>
      </c>
      <c r="D39" s="23"/>
      <c r="E39" s="23"/>
      <c r="F39" s="23"/>
      <c r="G39" s="23"/>
      <c r="H39" s="23">
        <v>86</v>
      </c>
      <c r="I39" s="27"/>
      <c r="J39" s="24">
        <f t="shared" si="3"/>
        <v>52956.9</v>
      </c>
      <c r="K39" s="24">
        <f t="shared" si="5"/>
        <v>25138.53</v>
      </c>
    </row>
    <row r="40" spans="2:11" x14ac:dyDescent="0.25">
      <c r="B40" s="31">
        <v>42529</v>
      </c>
      <c r="C40" s="21" t="s">
        <v>545</v>
      </c>
      <c r="D40" s="23"/>
      <c r="E40" s="23"/>
      <c r="F40" s="23"/>
      <c r="G40" s="23"/>
      <c r="H40" s="92">
        <v>270</v>
      </c>
      <c r="I40" s="27"/>
      <c r="J40" s="24">
        <f t="shared" si="3"/>
        <v>52956.9</v>
      </c>
      <c r="K40" s="24">
        <f t="shared" si="4"/>
        <v>24868.53</v>
      </c>
    </row>
    <row r="41" spans="2:11" x14ac:dyDescent="0.25">
      <c r="B41" s="31">
        <v>42529</v>
      </c>
      <c r="C41" s="21" t="s">
        <v>547</v>
      </c>
      <c r="D41" s="23"/>
      <c r="E41" s="23"/>
      <c r="F41" s="23"/>
      <c r="G41" s="23"/>
      <c r="H41" s="92">
        <v>600</v>
      </c>
      <c r="I41" s="27"/>
      <c r="J41" s="24">
        <f t="shared" si="3"/>
        <v>52956.9</v>
      </c>
      <c r="K41" s="24">
        <f>+K40+D41-H41</f>
        <v>24268.53</v>
      </c>
    </row>
    <row r="42" spans="2:11" x14ac:dyDescent="0.25">
      <c r="B42" s="31">
        <v>42529</v>
      </c>
      <c r="C42" s="21" t="s">
        <v>548</v>
      </c>
      <c r="D42" s="23"/>
      <c r="E42" s="23"/>
      <c r="F42" s="23"/>
      <c r="G42" s="23"/>
      <c r="H42" s="92">
        <v>66.8</v>
      </c>
      <c r="I42" s="27"/>
      <c r="J42" s="24">
        <f t="shared" si="3"/>
        <v>52956.9</v>
      </c>
      <c r="K42" s="24">
        <f>+K41+D42-H42</f>
        <v>24201.73</v>
      </c>
    </row>
    <row r="43" spans="2:11" x14ac:dyDescent="0.25">
      <c r="B43" s="31">
        <v>42531</v>
      </c>
      <c r="C43" s="21" t="s">
        <v>549</v>
      </c>
      <c r="D43" s="23"/>
      <c r="E43" s="23"/>
      <c r="F43" s="23"/>
      <c r="G43" s="23"/>
      <c r="H43" s="92">
        <v>172.5</v>
      </c>
      <c r="I43" s="27"/>
      <c r="J43" s="24">
        <f t="shared" si="3"/>
        <v>52956.9</v>
      </c>
      <c r="K43" s="24">
        <f t="shared" si="4"/>
        <v>24029.23</v>
      </c>
    </row>
    <row r="44" spans="2:11" x14ac:dyDescent="0.25">
      <c r="B44" s="31">
        <v>42531</v>
      </c>
      <c r="C44" s="21" t="s">
        <v>287</v>
      </c>
      <c r="D44" s="23"/>
      <c r="E44" s="23"/>
      <c r="F44" s="23"/>
      <c r="G44" s="23"/>
      <c r="H44" s="92">
        <v>175</v>
      </c>
      <c r="I44" s="27"/>
      <c r="J44" s="24">
        <f t="shared" si="3"/>
        <v>52956.9</v>
      </c>
      <c r="K44" s="24">
        <f>+K43+D44-H44</f>
        <v>23854.23</v>
      </c>
    </row>
    <row r="45" spans="2:11" x14ac:dyDescent="0.25">
      <c r="B45" s="31">
        <v>42531</v>
      </c>
      <c r="C45" s="21" t="s">
        <v>550</v>
      </c>
      <c r="D45" s="23"/>
      <c r="E45" s="23"/>
      <c r="F45" s="23"/>
      <c r="G45" s="23"/>
      <c r="H45" s="92">
        <v>1000</v>
      </c>
      <c r="I45" s="27"/>
      <c r="J45" s="24">
        <f t="shared" si="3"/>
        <v>52956.9</v>
      </c>
      <c r="K45" s="24">
        <f t="shared" si="4"/>
        <v>22854.23</v>
      </c>
    </row>
    <row r="46" spans="2:11" ht="15.75" thickBot="1" x14ac:dyDescent="0.3">
      <c r="B46" s="31">
        <v>42531</v>
      </c>
      <c r="C46" s="21" t="s">
        <v>551</v>
      </c>
      <c r="D46" s="23"/>
      <c r="E46" s="23"/>
      <c r="F46" s="23"/>
      <c r="G46" s="23"/>
      <c r="H46" s="92">
        <v>400</v>
      </c>
      <c r="I46" s="27"/>
      <c r="J46" s="24">
        <f t="shared" si="3"/>
        <v>52956.9</v>
      </c>
      <c r="K46" s="24">
        <f>+K45+D46-H46</f>
        <v>22454.23</v>
      </c>
    </row>
    <row r="47" spans="2:11" ht="15.75" thickBot="1" x14ac:dyDescent="0.3">
      <c r="B47" s="13"/>
      <c r="C47" s="16" t="s">
        <v>0</v>
      </c>
      <c r="D47" s="105">
        <f>SUM(D4:D46)</f>
        <v>27825</v>
      </c>
      <c r="E47" s="103">
        <f>SUM(E4:E46)</f>
        <v>300.45999999999998</v>
      </c>
      <c r="F47" s="114">
        <f>SUM(D47:E47)</f>
        <v>28125.46</v>
      </c>
      <c r="G47" s="126">
        <f>SUM(G4:G46)</f>
        <v>6565</v>
      </c>
      <c r="H47" s="105">
        <f>SUM(H4:H46)</f>
        <v>9000.0499999999993</v>
      </c>
      <c r="I47" s="114">
        <f>SUM(G47:H47)</f>
        <v>15565.05</v>
      </c>
      <c r="J47" s="33">
        <v>52956.9</v>
      </c>
      <c r="K47" s="33"/>
    </row>
    <row r="48" spans="2:11" x14ac:dyDescent="0.25">
      <c r="B48" s="111" t="s">
        <v>1</v>
      </c>
      <c r="C48" s="111" t="s">
        <v>2</v>
      </c>
      <c r="D48" s="111" t="s">
        <v>3</v>
      </c>
      <c r="E48" s="111" t="s">
        <v>3</v>
      </c>
      <c r="F48" s="111" t="s">
        <v>323</v>
      </c>
      <c r="G48" s="111" t="s">
        <v>324</v>
      </c>
      <c r="H48" s="81" t="s">
        <v>324</v>
      </c>
      <c r="I48" s="81" t="s">
        <v>323</v>
      </c>
      <c r="J48" s="111" t="s">
        <v>174</v>
      </c>
      <c r="K48" s="81" t="s">
        <v>173</v>
      </c>
    </row>
    <row r="49" spans="2:11" ht="15.75" thickBot="1" x14ac:dyDescent="0.3">
      <c r="B49" s="112"/>
      <c r="C49" s="112"/>
      <c r="D49" s="112" t="s">
        <v>6</v>
      </c>
      <c r="E49" s="112" t="s">
        <v>325</v>
      </c>
      <c r="F49" s="112" t="s">
        <v>3</v>
      </c>
      <c r="G49" s="112" t="s">
        <v>325</v>
      </c>
      <c r="H49" s="113" t="s">
        <v>6</v>
      </c>
      <c r="I49" s="113" t="s">
        <v>5</v>
      </c>
      <c r="J49" s="112"/>
      <c r="K49" s="113"/>
    </row>
    <row r="50" spans="2:11" ht="15.75" thickBot="1" x14ac:dyDescent="0.3">
      <c r="B50" s="13"/>
      <c r="C50" s="16" t="s">
        <v>0</v>
      </c>
      <c r="D50" s="105">
        <v>27825</v>
      </c>
      <c r="E50" s="103">
        <v>300.45999999999998</v>
      </c>
      <c r="F50" s="114">
        <f>SUM(D50:E50)</f>
        <v>28125.46</v>
      </c>
      <c r="G50" s="126">
        <v>6565</v>
      </c>
      <c r="H50" s="105">
        <v>9000.0499999999993</v>
      </c>
      <c r="I50" s="114">
        <f>SUM(G50:H50)</f>
        <v>15565.05</v>
      </c>
      <c r="J50" s="124">
        <v>52956.9</v>
      </c>
      <c r="K50" s="33">
        <v>22454.23</v>
      </c>
    </row>
    <row r="51" spans="2:11" x14ac:dyDescent="0.25">
      <c r="B51" s="31">
        <v>42533</v>
      </c>
      <c r="C51" s="21" t="s">
        <v>552</v>
      </c>
      <c r="D51" s="23">
        <v>24190</v>
      </c>
      <c r="E51" s="23"/>
      <c r="F51" s="23"/>
      <c r="G51" s="23"/>
      <c r="H51" s="92"/>
      <c r="I51" s="27"/>
      <c r="J51" s="24">
        <f>+J50+E51-G51</f>
        <v>52956.9</v>
      </c>
      <c r="K51" s="24">
        <f>+K50+D51-H51</f>
        <v>46644.229999999996</v>
      </c>
    </row>
    <row r="52" spans="2:11" x14ac:dyDescent="0.25">
      <c r="B52" s="31">
        <v>42533</v>
      </c>
      <c r="C52" s="25" t="s">
        <v>553</v>
      </c>
      <c r="D52" s="23">
        <v>10700</v>
      </c>
      <c r="E52" s="23"/>
      <c r="F52" s="23"/>
      <c r="G52" s="23"/>
      <c r="H52" s="23"/>
      <c r="I52" s="27"/>
      <c r="J52" s="24">
        <f t="shared" ref="J52:J93" si="6">+J51+E52-G52</f>
        <v>52956.9</v>
      </c>
      <c r="K52" s="24">
        <f t="shared" ref="K52:K93" si="7">+K51+D52-H52</f>
        <v>57344.229999999996</v>
      </c>
    </row>
    <row r="53" spans="2:11" x14ac:dyDescent="0.25">
      <c r="B53" s="31">
        <v>42533</v>
      </c>
      <c r="C53" s="25" t="s">
        <v>556</v>
      </c>
      <c r="D53" s="23"/>
      <c r="E53" s="23"/>
      <c r="F53" s="23"/>
      <c r="G53" s="23"/>
      <c r="H53" s="23">
        <v>350</v>
      </c>
      <c r="I53" s="27"/>
      <c r="J53" s="24">
        <f t="shared" si="6"/>
        <v>52956.9</v>
      </c>
      <c r="K53" s="24">
        <f t="shared" si="7"/>
        <v>56994.229999999996</v>
      </c>
    </row>
    <row r="54" spans="2:11" x14ac:dyDescent="0.25">
      <c r="B54" s="31">
        <v>42533</v>
      </c>
      <c r="C54" s="25" t="s">
        <v>554</v>
      </c>
      <c r="D54" s="23"/>
      <c r="E54" s="23"/>
      <c r="F54" s="23"/>
      <c r="G54" s="23"/>
      <c r="H54" s="23">
        <v>200</v>
      </c>
      <c r="I54" s="27"/>
      <c r="J54" s="24">
        <f t="shared" si="6"/>
        <v>52956.9</v>
      </c>
      <c r="K54" s="24">
        <f t="shared" si="7"/>
        <v>56794.229999999996</v>
      </c>
    </row>
    <row r="55" spans="2:11" x14ac:dyDescent="0.25">
      <c r="B55" s="31">
        <v>42533</v>
      </c>
      <c r="C55" s="21" t="s">
        <v>555</v>
      </c>
      <c r="D55" s="23"/>
      <c r="E55" s="23"/>
      <c r="F55" s="23"/>
      <c r="G55" s="23"/>
      <c r="H55" s="23">
        <v>350</v>
      </c>
      <c r="I55" s="27"/>
      <c r="J55" s="24">
        <f t="shared" si="6"/>
        <v>52956.9</v>
      </c>
      <c r="K55" s="24">
        <f t="shared" si="7"/>
        <v>56444.229999999996</v>
      </c>
    </row>
    <row r="56" spans="2:11" x14ac:dyDescent="0.25">
      <c r="B56" s="31">
        <v>42533</v>
      </c>
      <c r="C56" s="21" t="s">
        <v>571</v>
      </c>
      <c r="D56" s="23"/>
      <c r="E56" s="23"/>
      <c r="F56" s="23"/>
      <c r="G56" s="23"/>
      <c r="H56" s="23">
        <v>100</v>
      </c>
      <c r="I56" s="27"/>
      <c r="J56" s="24">
        <f t="shared" si="6"/>
        <v>52956.9</v>
      </c>
      <c r="K56" s="24">
        <f t="shared" si="7"/>
        <v>56344.229999999996</v>
      </c>
    </row>
    <row r="57" spans="2:11" x14ac:dyDescent="0.25">
      <c r="B57" s="31">
        <v>42533</v>
      </c>
      <c r="C57" s="25" t="s">
        <v>557</v>
      </c>
      <c r="D57" s="23"/>
      <c r="E57" s="23"/>
      <c r="F57" s="23"/>
      <c r="G57" s="23"/>
      <c r="H57" s="23">
        <v>143.5</v>
      </c>
      <c r="I57" s="27"/>
      <c r="J57" s="24">
        <f t="shared" si="6"/>
        <v>52956.9</v>
      </c>
      <c r="K57" s="24">
        <f t="shared" si="7"/>
        <v>56200.729999999996</v>
      </c>
    </row>
    <row r="58" spans="2:11" x14ac:dyDescent="0.25">
      <c r="B58" s="31">
        <v>42534</v>
      </c>
      <c r="C58" s="62" t="s">
        <v>558</v>
      </c>
      <c r="D58" s="23"/>
      <c r="E58" s="23"/>
      <c r="F58" s="23"/>
      <c r="G58" s="23"/>
      <c r="H58" s="23">
        <v>84</v>
      </c>
      <c r="I58" s="27"/>
      <c r="J58" s="24">
        <f t="shared" si="6"/>
        <v>52956.9</v>
      </c>
      <c r="K58" s="24">
        <f t="shared" si="7"/>
        <v>56116.729999999996</v>
      </c>
    </row>
    <row r="59" spans="2:11" x14ac:dyDescent="0.25">
      <c r="B59" s="31">
        <v>42534</v>
      </c>
      <c r="C59" s="60" t="s">
        <v>559</v>
      </c>
      <c r="D59" s="23"/>
      <c r="E59" s="23"/>
      <c r="F59" s="23"/>
      <c r="G59" s="23"/>
      <c r="H59" s="23">
        <v>200</v>
      </c>
      <c r="I59" s="27"/>
      <c r="J59" s="24">
        <f t="shared" si="6"/>
        <v>52956.9</v>
      </c>
      <c r="K59" s="24">
        <f t="shared" si="7"/>
        <v>55916.729999999996</v>
      </c>
    </row>
    <row r="60" spans="2:11" x14ac:dyDescent="0.25">
      <c r="B60" s="31">
        <v>42534</v>
      </c>
      <c r="C60" s="21" t="s">
        <v>560</v>
      </c>
      <c r="D60" s="23"/>
      <c r="E60" s="23"/>
      <c r="F60" s="23"/>
      <c r="G60" s="23"/>
      <c r="H60" s="23">
        <v>400</v>
      </c>
      <c r="I60" s="27"/>
      <c r="J60" s="24">
        <f t="shared" si="6"/>
        <v>52956.9</v>
      </c>
      <c r="K60" s="24">
        <f t="shared" si="7"/>
        <v>55516.729999999996</v>
      </c>
    </row>
    <row r="61" spans="2:11" x14ac:dyDescent="0.25">
      <c r="B61" s="31">
        <v>42534</v>
      </c>
      <c r="C61" s="21" t="s">
        <v>561</v>
      </c>
      <c r="D61" s="23"/>
      <c r="E61" s="23"/>
      <c r="F61" s="23"/>
      <c r="G61" s="23"/>
      <c r="H61" s="23">
        <v>110</v>
      </c>
      <c r="I61" s="27"/>
      <c r="J61" s="24">
        <f t="shared" si="6"/>
        <v>52956.9</v>
      </c>
      <c r="K61" s="24">
        <f t="shared" si="7"/>
        <v>55406.729999999996</v>
      </c>
    </row>
    <row r="62" spans="2:11" x14ac:dyDescent="0.25">
      <c r="B62" s="31">
        <v>42535</v>
      </c>
      <c r="C62" s="21" t="s">
        <v>568</v>
      </c>
      <c r="D62" s="23"/>
      <c r="E62" s="23"/>
      <c r="F62" s="23"/>
      <c r="G62" s="23"/>
      <c r="H62" s="23">
        <v>141</v>
      </c>
      <c r="I62" s="27"/>
      <c r="J62" s="24">
        <f t="shared" si="6"/>
        <v>52956.9</v>
      </c>
      <c r="K62" s="24">
        <f t="shared" si="7"/>
        <v>55265.729999999996</v>
      </c>
    </row>
    <row r="63" spans="2:11" x14ac:dyDescent="0.25">
      <c r="B63" s="31">
        <v>42535</v>
      </c>
      <c r="C63" s="21" t="s">
        <v>569</v>
      </c>
      <c r="D63" s="23"/>
      <c r="E63" s="23"/>
      <c r="F63" s="23"/>
      <c r="G63" s="23"/>
      <c r="H63" s="23">
        <v>20</v>
      </c>
      <c r="I63" s="27"/>
      <c r="J63" s="24">
        <f t="shared" si="6"/>
        <v>52956.9</v>
      </c>
      <c r="K63" s="24">
        <f t="shared" si="7"/>
        <v>55245.729999999996</v>
      </c>
    </row>
    <row r="64" spans="2:11" x14ac:dyDescent="0.25">
      <c r="B64" s="31">
        <v>42535</v>
      </c>
      <c r="C64" s="21" t="s">
        <v>570</v>
      </c>
      <c r="D64" s="23"/>
      <c r="E64" s="23"/>
      <c r="F64" s="23"/>
      <c r="G64" s="23"/>
      <c r="H64" s="23">
        <v>500</v>
      </c>
      <c r="I64" s="27"/>
      <c r="J64" s="24">
        <f t="shared" si="6"/>
        <v>52956.9</v>
      </c>
      <c r="K64" s="24">
        <f t="shared" si="7"/>
        <v>54745.729999999996</v>
      </c>
    </row>
    <row r="65" spans="2:11" x14ac:dyDescent="0.25">
      <c r="B65" s="31">
        <v>42536</v>
      </c>
      <c r="C65" s="62" t="s">
        <v>572</v>
      </c>
      <c r="D65" s="23"/>
      <c r="E65" s="23"/>
      <c r="F65" s="23"/>
      <c r="G65" s="23">
        <v>1760</v>
      </c>
      <c r="H65" s="23"/>
      <c r="I65" s="27"/>
      <c r="J65" s="24">
        <f t="shared" si="6"/>
        <v>51196.9</v>
      </c>
      <c r="K65" s="24">
        <f t="shared" si="7"/>
        <v>54745.729999999996</v>
      </c>
    </row>
    <row r="66" spans="2:11" x14ac:dyDescent="0.25">
      <c r="B66" s="31">
        <v>42536</v>
      </c>
      <c r="C66" s="60" t="s">
        <v>573</v>
      </c>
      <c r="D66" s="23"/>
      <c r="E66" s="23"/>
      <c r="F66" s="23"/>
      <c r="G66" s="23">
        <v>1224</v>
      </c>
      <c r="H66" s="23"/>
      <c r="I66" s="27"/>
      <c r="J66" s="24">
        <f t="shared" si="6"/>
        <v>49972.9</v>
      </c>
      <c r="K66" s="24">
        <f t="shared" si="7"/>
        <v>54745.729999999996</v>
      </c>
    </row>
    <row r="67" spans="2:11" x14ac:dyDescent="0.25">
      <c r="B67" s="31">
        <v>42536</v>
      </c>
      <c r="C67" s="21" t="s">
        <v>574</v>
      </c>
      <c r="D67" s="23"/>
      <c r="E67" s="23"/>
      <c r="F67" s="23"/>
      <c r="G67" s="23"/>
      <c r="H67" s="23">
        <v>100</v>
      </c>
      <c r="I67" s="27"/>
      <c r="J67" s="24">
        <f t="shared" si="6"/>
        <v>49972.9</v>
      </c>
      <c r="K67" s="24">
        <f t="shared" si="7"/>
        <v>54645.729999999996</v>
      </c>
    </row>
    <row r="68" spans="2:11" x14ac:dyDescent="0.25">
      <c r="B68" s="31">
        <v>42536</v>
      </c>
      <c r="C68" s="21" t="s">
        <v>575</v>
      </c>
      <c r="D68" s="23"/>
      <c r="E68" s="23"/>
      <c r="F68" s="23"/>
      <c r="G68" s="23"/>
      <c r="H68" s="23">
        <v>180</v>
      </c>
      <c r="I68" s="27"/>
      <c r="J68" s="24">
        <f t="shared" si="6"/>
        <v>49972.9</v>
      </c>
      <c r="K68" s="24">
        <f t="shared" si="7"/>
        <v>54465.729999999996</v>
      </c>
    </row>
    <row r="69" spans="2:11" x14ac:dyDescent="0.25">
      <c r="B69" s="31">
        <v>42536</v>
      </c>
      <c r="C69" s="21" t="s">
        <v>576</v>
      </c>
      <c r="D69" s="23"/>
      <c r="E69" s="23"/>
      <c r="F69" s="23"/>
      <c r="G69" s="23"/>
      <c r="H69" s="23">
        <v>171.4</v>
      </c>
      <c r="I69" s="27"/>
      <c r="J69" s="24">
        <f t="shared" si="6"/>
        <v>49972.9</v>
      </c>
      <c r="K69" s="24">
        <f t="shared" si="7"/>
        <v>54294.329999999994</v>
      </c>
    </row>
    <row r="70" spans="2:11" x14ac:dyDescent="0.25">
      <c r="B70" s="31">
        <v>42536</v>
      </c>
      <c r="C70" s="21" t="s">
        <v>577</v>
      </c>
      <c r="D70" s="23"/>
      <c r="E70" s="23"/>
      <c r="F70" s="23"/>
      <c r="G70" s="23"/>
      <c r="H70" s="23">
        <v>400</v>
      </c>
      <c r="I70" s="27"/>
      <c r="J70" s="24">
        <f t="shared" si="6"/>
        <v>49972.9</v>
      </c>
      <c r="K70" s="24">
        <f t="shared" si="7"/>
        <v>53894.329999999994</v>
      </c>
    </row>
    <row r="71" spans="2:11" x14ac:dyDescent="0.25">
      <c r="B71" s="31">
        <v>42536</v>
      </c>
      <c r="C71" s="21" t="s">
        <v>562</v>
      </c>
      <c r="D71" s="23"/>
      <c r="E71" s="23"/>
      <c r="F71" s="23"/>
      <c r="G71" s="23"/>
      <c r="H71" s="23">
        <v>450</v>
      </c>
      <c r="I71" s="27"/>
      <c r="J71" s="24">
        <f t="shared" si="6"/>
        <v>49972.9</v>
      </c>
      <c r="K71" s="24">
        <f t="shared" si="7"/>
        <v>53444.329999999994</v>
      </c>
    </row>
    <row r="72" spans="2:11" x14ac:dyDescent="0.25">
      <c r="B72" s="31">
        <v>42536</v>
      </c>
      <c r="C72" s="25" t="s">
        <v>563</v>
      </c>
      <c r="D72" s="73"/>
      <c r="E72" s="73"/>
      <c r="F72" s="73"/>
      <c r="G72" s="73"/>
      <c r="H72" s="23">
        <v>2700</v>
      </c>
      <c r="I72" s="27"/>
      <c r="J72" s="24">
        <f t="shared" si="6"/>
        <v>49972.9</v>
      </c>
      <c r="K72" s="24">
        <f t="shared" si="7"/>
        <v>50744.329999999994</v>
      </c>
    </row>
    <row r="73" spans="2:11" x14ac:dyDescent="0.25">
      <c r="B73" s="31">
        <v>42536</v>
      </c>
      <c r="C73" s="25" t="s">
        <v>564</v>
      </c>
      <c r="D73" s="73"/>
      <c r="E73" s="73"/>
      <c r="F73" s="73"/>
      <c r="G73" s="28"/>
      <c r="H73" s="23">
        <v>29000</v>
      </c>
      <c r="I73" s="27"/>
      <c r="J73" s="24">
        <f t="shared" si="6"/>
        <v>49972.9</v>
      </c>
      <c r="K73" s="24">
        <f t="shared" si="7"/>
        <v>21744.329999999994</v>
      </c>
    </row>
    <row r="74" spans="2:11" x14ac:dyDescent="0.25">
      <c r="B74" s="31">
        <v>42536</v>
      </c>
      <c r="C74" s="25" t="s">
        <v>565</v>
      </c>
      <c r="D74" s="73"/>
      <c r="E74" s="73"/>
      <c r="F74" s="73"/>
      <c r="G74" s="73"/>
      <c r="H74" s="23">
        <v>4000</v>
      </c>
      <c r="I74" s="27"/>
      <c r="J74" s="24">
        <f t="shared" si="6"/>
        <v>49972.9</v>
      </c>
      <c r="K74" s="24">
        <f t="shared" si="7"/>
        <v>17744.329999999994</v>
      </c>
    </row>
    <row r="75" spans="2:11" x14ac:dyDescent="0.25">
      <c r="B75" s="31">
        <v>42538</v>
      </c>
      <c r="C75" s="21" t="s">
        <v>578</v>
      </c>
      <c r="D75" s="23"/>
      <c r="E75" s="23"/>
      <c r="F75" s="23"/>
      <c r="G75" s="23"/>
      <c r="H75" s="23">
        <v>300</v>
      </c>
      <c r="I75" s="27"/>
      <c r="J75" s="24">
        <f t="shared" si="6"/>
        <v>49972.9</v>
      </c>
      <c r="K75" s="24">
        <f t="shared" si="7"/>
        <v>17444.329999999994</v>
      </c>
    </row>
    <row r="76" spans="2:11" x14ac:dyDescent="0.25">
      <c r="B76" s="31">
        <v>42538</v>
      </c>
      <c r="C76" s="21" t="s">
        <v>579</v>
      </c>
      <c r="D76" s="23"/>
      <c r="E76" s="23"/>
      <c r="F76" s="23"/>
      <c r="G76" s="23"/>
      <c r="H76" s="23">
        <v>150</v>
      </c>
      <c r="I76" s="27"/>
      <c r="J76" s="24">
        <f t="shared" si="6"/>
        <v>49972.9</v>
      </c>
      <c r="K76" s="24">
        <f t="shared" si="7"/>
        <v>17294.329999999994</v>
      </c>
    </row>
    <row r="77" spans="2:11" x14ac:dyDescent="0.25">
      <c r="B77" s="31">
        <v>42538</v>
      </c>
      <c r="C77" s="21" t="s">
        <v>580</v>
      </c>
      <c r="D77" s="23"/>
      <c r="E77" s="23"/>
      <c r="F77" s="23"/>
      <c r="G77" s="23"/>
      <c r="H77" s="23">
        <v>100</v>
      </c>
      <c r="I77" s="27"/>
      <c r="J77" s="24">
        <f t="shared" si="6"/>
        <v>49972.9</v>
      </c>
      <c r="K77" s="24">
        <f t="shared" si="7"/>
        <v>17194.329999999994</v>
      </c>
    </row>
    <row r="78" spans="2:11" x14ac:dyDescent="0.25">
      <c r="B78" s="31">
        <v>42538</v>
      </c>
      <c r="C78" s="21" t="s">
        <v>581</v>
      </c>
      <c r="D78" s="23"/>
      <c r="E78" s="23"/>
      <c r="F78" s="23"/>
      <c r="G78" s="23"/>
      <c r="H78" s="23">
        <v>180</v>
      </c>
      <c r="I78" s="27"/>
      <c r="J78" s="24">
        <f t="shared" si="6"/>
        <v>49972.9</v>
      </c>
      <c r="K78" s="24">
        <f t="shared" si="7"/>
        <v>17014.329999999994</v>
      </c>
    </row>
    <row r="79" spans="2:11" x14ac:dyDescent="0.25">
      <c r="B79" s="31">
        <v>42538</v>
      </c>
      <c r="C79" s="21" t="s">
        <v>582</v>
      </c>
      <c r="D79" s="23"/>
      <c r="E79" s="23"/>
      <c r="F79" s="23"/>
      <c r="G79" s="23"/>
      <c r="H79" s="23">
        <v>138</v>
      </c>
      <c r="I79" s="27"/>
      <c r="J79" s="24">
        <f t="shared" si="6"/>
        <v>49972.9</v>
      </c>
      <c r="K79" s="24">
        <f t="shared" si="7"/>
        <v>16876.329999999994</v>
      </c>
    </row>
    <row r="80" spans="2:11" x14ac:dyDescent="0.25">
      <c r="B80" s="31">
        <v>42538</v>
      </c>
      <c r="C80" s="21" t="s">
        <v>583</v>
      </c>
      <c r="D80" s="23"/>
      <c r="E80" s="23"/>
      <c r="F80" s="23"/>
      <c r="G80" s="23"/>
      <c r="H80" s="23">
        <v>129</v>
      </c>
      <c r="I80" s="27"/>
      <c r="J80" s="24">
        <f t="shared" si="6"/>
        <v>49972.9</v>
      </c>
      <c r="K80" s="24">
        <f t="shared" si="7"/>
        <v>16747.329999999994</v>
      </c>
    </row>
    <row r="81" spans="2:11" x14ac:dyDescent="0.25">
      <c r="B81" s="31">
        <v>42538</v>
      </c>
      <c r="C81" s="21" t="s">
        <v>584</v>
      </c>
      <c r="D81" s="23"/>
      <c r="E81" s="23"/>
      <c r="F81" s="23"/>
      <c r="G81" s="23"/>
      <c r="H81" s="23">
        <v>125</v>
      </c>
      <c r="I81" s="27"/>
      <c r="J81" s="24">
        <f t="shared" si="6"/>
        <v>49972.9</v>
      </c>
      <c r="K81" s="24">
        <f t="shared" si="7"/>
        <v>16622.329999999994</v>
      </c>
    </row>
    <row r="82" spans="2:11" x14ac:dyDescent="0.25">
      <c r="B82" s="31">
        <v>42538</v>
      </c>
      <c r="C82" s="21" t="s">
        <v>519</v>
      </c>
      <c r="D82" s="23"/>
      <c r="E82" s="23"/>
      <c r="F82" s="23"/>
      <c r="G82" s="23"/>
      <c r="H82" s="23">
        <v>225</v>
      </c>
      <c r="I82" s="27"/>
      <c r="J82" s="24">
        <f t="shared" si="6"/>
        <v>49972.9</v>
      </c>
      <c r="K82" s="24">
        <f t="shared" si="7"/>
        <v>16397.329999999994</v>
      </c>
    </row>
    <row r="83" spans="2:11" x14ac:dyDescent="0.25">
      <c r="B83" s="31">
        <v>42538</v>
      </c>
      <c r="C83" s="21" t="s">
        <v>585</v>
      </c>
      <c r="D83" s="23"/>
      <c r="E83" s="23"/>
      <c r="F83" s="23"/>
      <c r="G83" s="23"/>
      <c r="H83" s="23">
        <v>1139.7</v>
      </c>
      <c r="I83" s="27"/>
      <c r="J83" s="24">
        <f t="shared" si="6"/>
        <v>49972.9</v>
      </c>
      <c r="K83" s="24">
        <f t="shared" si="7"/>
        <v>15257.629999999994</v>
      </c>
    </row>
    <row r="84" spans="2:11" x14ac:dyDescent="0.25">
      <c r="B84" s="31">
        <v>42538</v>
      </c>
      <c r="C84" s="21" t="s">
        <v>586</v>
      </c>
      <c r="D84" s="23"/>
      <c r="E84" s="23"/>
      <c r="F84" s="23"/>
      <c r="G84" s="23"/>
      <c r="H84" s="23">
        <v>300</v>
      </c>
      <c r="I84" s="27"/>
      <c r="J84" s="24">
        <f t="shared" si="6"/>
        <v>49972.9</v>
      </c>
      <c r="K84" s="24">
        <f t="shared" si="7"/>
        <v>14957.629999999994</v>
      </c>
    </row>
    <row r="85" spans="2:11" x14ac:dyDescent="0.25">
      <c r="B85" s="31">
        <v>42538</v>
      </c>
      <c r="C85" s="21" t="s">
        <v>587</v>
      </c>
      <c r="D85" s="23"/>
      <c r="E85" s="23"/>
      <c r="F85" s="23"/>
      <c r="G85" s="23"/>
      <c r="H85" s="23">
        <v>1000</v>
      </c>
      <c r="I85" s="27"/>
      <c r="J85" s="24">
        <f t="shared" si="6"/>
        <v>49972.9</v>
      </c>
      <c r="K85" s="24">
        <f t="shared" si="7"/>
        <v>13957.629999999994</v>
      </c>
    </row>
    <row r="86" spans="2:11" x14ac:dyDescent="0.25">
      <c r="B86" s="31">
        <v>42539</v>
      </c>
      <c r="C86" s="21" t="s">
        <v>588</v>
      </c>
      <c r="D86" s="23"/>
      <c r="E86" s="23"/>
      <c r="F86" s="23"/>
      <c r="G86" s="23"/>
      <c r="H86" s="23">
        <v>350</v>
      </c>
      <c r="I86" s="27"/>
      <c r="J86" s="24">
        <f t="shared" si="6"/>
        <v>49972.9</v>
      </c>
      <c r="K86" s="24">
        <f t="shared" si="7"/>
        <v>13607.629999999994</v>
      </c>
    </row>
    <row r="87" spans="2:11" x14ac:dyDescent="0.25">
      <c r="B87" s="31">
        <v>42539</v>
      </c>
      <c r="C87" s="21" t="s">
        <v>589</v>
      </c>
      <c r="D87" s="23"/>
      <c r="E87" s="23"/>
      <c r="F87" s="23"/>
      <c r="G87" s="23"/>
      <c r="H87" s="23">
        <v>71.099999999999994</v>
      </c>
      <c r="I87" s="27"/>
      <c r="J87" s="24">
        <f t="shared" si="6"/>
        <v>49972.9</v>
      </c>
      <c r="K87" s="24">
        <f t="shared" si="7"/>
        <v>13536.529999999993</v>
      </c>
    </row>
    <row r="88" spans="2:11" x14ac:dyDescent="0.25">
      <c r="B88" s="31">
        <v>42539</v>
      </c>
      <c r="C88" s="21" t="s">
        <v>590</v>
      </c>
      <c r="D88" s="23"/>
      <c r="E88" s="23"/>
      <c r="F88" s="23"/>
      <c r="G88" s="23"/>
      <c r="H88" s="23">
        <v>60</v>
      </c>
      <c r="I88" s="27"/>
      <c r="J88" s="24">
        <f t="shared" si="6"/>
        <v>49972.9</v>
      </c>
      <c r="K88" s="24">
        <f t="shared" si="7"/>
        <v>13476.529999999993</v>
      </c>
    </row>
    <row r="89" spans="2:11" x14ac:dyDescent="0.25">
      <c r="B89" s="31">
        <v>42539</v>
      </c>
      <c r="C89" s="21" t="s">
        <v>591</v>
      </c>
      <c r="D89" s="23"/>
      <c r="E89" s="23"/>
      <c r="F89" s="23"/>
      <c r="G89" s="23"/>
      <c r="H89" s="23">
        <v>300</v>
      </c>
      <c r="I89" s="27"/>
      <c r="J89" s="24">
        <f t="shared" si="6"/>
        <v>49972.9</v>
      </c>
      <c r="K89" s="24">
        <f t="shared" si="7"/>
        <v>13176.529999999993</v>
      </c>
    </row>
    <row r="90" spans="2:11" x14ac:dyDescent="0.25">
      <c r="B90" s="31">
        <v>42539</v>
      </c>
      <c r="C90" s="21" t="s">
        <v>592</v>
      </c>
      <c r="D90" s="23"/>
      <c r="E90" s="23"/>
      <c r="F90" s="23"/>
      <c r="G90" s="23"/>
      <c r="H90" s="23">
        <v>150</v>
      </c>
      <c r="I90" s="27"/>
      <c r="J90" s="24">
        <f t="shared" si="6"/>
        <v>49972.9</v>
      </c>
      <c r="K90" s="24">
        <f t="shared" si="7"/>
        <v>13026.529999999993</v>
      </c>
    </row>
    <row r="91" spans="2:11" x14ac:dyDescent="0.25">
      <c r="B91" s="31">
        <v>42540</v>
      </c>
      <c r="C91" s="21" t="s">
        <v>593</v>
      </c>
      <c r="D91" s="23"/>
      <c r="E91" s="23"/>
      <c r="F91" s="23"/>
      <c r="G91" s="23"/>
      <c r="H91" s="23">
        <v>183.4</v>
      </c>
      <c r="I91" s="27"/>
      <c r="J91" s="24">
        <f t="shared" si="6"/>
        <v>49972.9</v>
      </c>
      <c r="K91" s="24">
        <f t="shared" si="7"/>
        <v>12843.129999999994</v>
      </c>
    </row>
    <row r="92" spans="2:11" x14ac:dyDescent="0.25">
      <c r="B92" s="31">
        <v>42540</v>
      </c>
      <c r="C92" s="21" t="s">
        <v>594</v>
      </c>
      <c r="D92" s="23">
        <v>32460</v>
      </c>
      <c r="E92" s="23"/>
      <c r="F92" s="23"/>
      <c r="G92" s="23"/>
      <c r="H92" s="23"/>
      <c r="I92" s="27"/>
      <c r="J92" s="24">
        <f t="shared" si="6"/>
        <v>49972.9</v>
      </c>
      <c r="K92" s="24">
        <f t="shared" si="7"/>
        <v>45303.12999999999</v>
      </c>
    </row>
    <row r="93" spans="2:11" ht="15.75" thickBot="1" x14ac:dyDescent="0.3">
      <c r="B93" s="31">
        <v>42540</v>
      </c>
      <c r="C93" s="21" t="s">
        <v>595</v>
      </c>
      <c r="D93" s="23">
        <v>6600</v>
      </c>
      <c r="E93" s="23"/>
      <c r="F93" s="23"/>
      <c r="G93" s="23"/>
      <c r="H93" s="23"/>
      <c r="I93" s="27"/>
      <c r="J93" s="24">
        <f t="shared" si="6"/>
        <v>49972.9</v>
      </c>
      <c r="K93" s="24">
        <f t="shared" si="7"/>
        <v>51903.12999999999</v>
      </c>
    </row>
    <row r="94" spans="2:11" ht="15.75" thickBot="1" x14ac:dyDescent="0.3">
      <c r="B94" s="13"/>
      <c r="C94" s="16" t="s">
        <v>0</v>
      </c>
      <c r="D94" s="105">
        <f>SUM(D48:D93)</f>
        <v>101775</v>
      </c>
      <c r="E94" s="103">
        <f>SUM(E48:E93)</f>
        <v>300.45999999999998</v>
      </c>
      <c r="F94" s="114">
        <f>SUM(D94:E94)</f>
        <v>102075.46</v>
      </c>
      <c r="G94" s="126">
        <f>SUM(G50:G93)</f>
        <v>9549</v>
      </c>
      <c r="H94" s="105">
        <f>SUM(H48:H93)</f>
        <v>53501.149999999994</v>
      </c>
      <c r="I94" s="114">
        <f>SUM(G94:H94)</f>
        <v>63050.149999999994</v>
      </c>
      <c r="J94" s="33"/>
      <c r="K94" s="33"/>
    </row>
    <row r="95" spans="2:11" x14ac:dyDescent="0.25">
      <c r="B95" s="111" t="s">
        <v>1</v>
      </c>
      <c r="C95" s="111" t="s">
        <v>2</v>
      </c>
      <c r="D95" s="111" t="s">
        <v>3</v>
      </c>
      <c r="E95" s="111" t="s">
        <v>3</v>
      </c>
      <c r="F95" s="111" t="s">
        <v>323</v>
      </c>
      <c r="G95" s="111" t="s">
        <v>324</v>
      </c>
      <c r="H95" s="81" t="s">
        <v>324</v>
      </c>
      <c r="I95" s="81" t="s">
        <v>323</v>
      </c>
      <c r="J95" s="111" t="s">
        <v>174</v>
      </c>
      <c r="K95" s="81" t="s">
        <v>173</v>
      </c>
    </row>
    <row r="96" spans="2:11" ht="15.75" thickBot="1" x14ac:dyDescent="0.3">
      <c r="B96" s="112"/>
      <c r="C96" s="112"/>
      <c r="D96" s="112" t="s">
        <v>6</v>
      </c>
      <c r="E96" s="112" t="s">
        <v>325</v>
      </c>
      <c r="F96" s="112" t="s">
        <v>3</v>
      </c>
      <c r="G96" s="112" t="s">
        <v>325</v>
      </c>
      <c r="H96" s="113" t="s">
        <v>6</v>
      </c>
      <c r="I96" s="113" t="s">
        <v>5</v>
      </c>
      <c r="J96" s="112"/>
      <c r="K96" s="113"/>
    </row>
    <row r="97" spans="2:11" ht="15.75" thickBot="1" x14ac:dyDescent="0.3">
      <c r="B97" s="13"/>
      <c r="C97" s="16" t="s">
        <v>0</v>
      </c>
      <c r="D97" s="105">
        <v>101775</v>
      </c>
      <c r="E97" s="103">
        <v>300.45999999999998</v>
      </c>
      <c r="F97" s="114">
        <v>101815.46</v>
      </c>
      <c r="G97" s="126">
        <v>9549</v>
      </c>
      <c r="H97" s="105">
        <v>53501.15</v>
      </c>
      <c r="I97" s="114">
        <f>SUM(G97:H97)</f>
        <v>63050.15</v>
      </c>
      <c r="J97" s="33">
        <v>49972</v>
      </c>
      <c r="K97" s="33">
        <v>51903.13</v>
      </c>
    </row>
    <row r="98" spans="2:11" x14ac:dyDescent="0.25">
      <c r="B98" s="31">
        <v>42541</v>
      </c>
      <c r="C98" s="21" t="s">
        <v>596</v>
      </c>
      <c r="D98" s="23"/>
      <c r="E98" s="23"/>
      <c r="F98" s="23"/>
      <c r="G98" s="23"/>
      <c r="H98" s="23">
        <v>1500</v>
      </c>
      <c r="I98" s="27"/>
      <c r="J98" s="24">
        <f>+J93+E98-G98</f>
        <v>49972.9</v>
      </c>
      <c r="K98" s="24">
        <f>+K93+D98-H98</f>
        <v>50403.12999999999</v>
      </c>
    </row>
    <row r="99" spans="2:11" x14ac:dyDescent="0.25">
      <c r="B99" s="31">
        <v>42541</v>
      </c>
      <c r="C99" s="21" t="s">
        <v>597</v>
      </c>
      <c r="D99" s="23"/>
      <c r="E99" s="23"/>
      <c r="F99" s="23"/>
      <c r="G99" s="23"/>
      <c r="H99" s="23">
        <v>1600</v>
      </c>
      <c r="I99" s="27"/>
      <c r="J99" s="24">
        <f t="shared" ref="J99:J113" si="8">+J98+E99-G99</f>
        <v>49972.9</v>
      </c>
      <c r="K99" s="24">
        <f>+K98+D99-H99</f>
        <v>48803.12999999999</v>
      </c>
    </row>
    <row r="100" spans="2:11" x14ac:dyDescent="0.25">
      <c r="B100" s="31">
        <v>42542</v>
      </c>
      <c r="C100" s="21" t="s">
        <v>599</v>
      </c>
      <c r="D100" s="23"/>
      <c r="E100" s="23"/>
      <c r="F100" s="23"/>
      <c r="G100" s="23"/>
      <c r="H100" s="23">
        <v>400</v>
      </c>
      <c r="I100" s="27"/>
      <c r="J100" s="24">
        <f t="shared" si="8"/>
        <v>49972.9</v>
      </c>
      <c r="K100" s="24">
        <f t="shared" ref="K100:K113" si="9">+K99+D100-H100</f>
        <v>48403.12999999999</v>
      </c>
    </row>
    <row r="101" spans="2:11" x14ac:dyDescent="0.25">
      <c r="B101" s="31">
        <v>42545</v>
      </c>
      <c r="C101" s="21" t="s">
        <v>600</v>
      </c>
      <c r="D101" s="23"/>
      <c r="E101" s="23"/>
      <c r="F101" s="23"/>
      <c r="G101" s="23"/>
      <c r="H101" s="23">
        <v>1600</v>
      </c>
      <c r="I101" s="27"/>
      <c r="J101" s="24">
        <f t="shared" si="8"/>
        <v>49972.9</v>
      </c>
      <c r="K101" s="24">
        <f t="shared" si="9"/>
        <v>46803.12999999999</v>
      </c>
    </row>
    <row r="102" spans="2:11" x14ac:dyDescent="0.25">
      <c r="B102" s="31">
        <v>42545</v>
      </c>
      <c r="C102" s="21" t="s">
        <v>601</v>
      </c>
      <c r="D102" s="23"/>
      <c r="E102" s="23"/>
      <c r="F102" s="23"/>
      <c r="G102" s="23"/>
      <c r="H102" s="23">
        <v>1600</v>
      </c>
      <c r="I102" s="27"/>
      <c r="J102" s="24">
        <f t="shared" si="8"/>
        <v>49972.9</v>
      </c>
      <c r="K102" s="24">
        <f t="shared" si="9"/>
        <v>45203.12999999999</v>
      </c>
    </row>
    <row r="103" spans="2:11" x14ac:dyDescent="0.25">
      <c r="B103" s="31">
        <v>42514</v>
      </c>
      <c r="C103" s="21" t="s">
        <v>602</v>
      </c>
      <c r="D103" s="23"/>
      <c r="E103" s="23"/>
      <c r="F103" s="23"/>
      <c r="G103" s="23"/>
      <c r="H103" s="23">
        <v>1000</v>
      </c>
      <c r="I103" s="27"/>
      <c r="J103" s="24">
        <f t="shared" si="8"/>
        <v>49972.9</v>
      </c>
      <c r="K103" s="24">
        <f t="shared" si="9"/>
        <v>44203.12999999999</v>
      </c>
    </row>
    <row r="104" spans="2:11" x14ac:dyDescent="0.25">
      <c r="B104" s="31">
        <v>42545</v>
      </c>
      <c r="C104" s="21" t="s">
        <v>603</v>
      </c>
      <c r="D104" s="23"/>
      <c r="E104" s="23"/>
      <c r="F104" s="23"/>
      <c r="G104" s="23"/>
      <c r="H104" s="23">
        <v>190</v>
      </c>
      <c r="I104" s="27"/>
      <c r="J104" s="24">
        <f t="shared" si="8"/>
        <v>49972.9</v>
      </c>
      <c r="K104" s="24">
        <f t="shared" si="9"/>
        <v>44013.12999999999</v>
      </c>
    </row>
    <row r="105" spans="2:11" x14ac:dyDescent="0.25">
      <c r="B105" s="31">
        <v>42514</v>
      </c>
      <c r="C105" s="21" t="s">
        <v>619</v>
      </c>
      <c r="D105" s="23"/>
      <c r="E105" s="23"/>
      <c r="F105" s="23"/>
      <c r="G105" s="23">
        <v>4000</v>
      </c>
      <c r="H105" s="23"/>
      <c r="I105" s="27"/>
      <c r="J105" s="24">
        <f t="shared" si="8"/>
        <v>45972.9</v>
      </c>
      <c r="K105" s="24">
        <f t="shared" si="9"/>
        <v>44013.12999999999</v>
      </c>
    </row>
    <row r="106" spans="2:11" x14ac:dyDescent="0.25">
      <c r="B106" s="31">
        <v>42514</v>
      </c>
      <c r="C106" s="21" t="s">
        <v>620</v>
      </c>
      <c r="D106" s="23"/>
      <c r="E106" s="23"/>
      <c r="F106" s="23"/>
      <c r="G106" s="23">
        <v>3000</v>
      </c>
      <c r="H106" s="23"/>
      <c r="I106" s="27"/>
      <c r="J106" s="24">
        <f t="shared" si="8"/>
        <v>42972.9</v>
      </c>
      <c r="K106" s="24">
        <f t="shared" si="9"/>
        <v>44013.12999999999</v>
      </c>
    </row>
    <row r="107" spans="2:11" x14ac:dyDescent="0.25">
      <c r="B107" s="31">
        <v>42546</v>
      </c>
      <c r="C107" s="21" t="s">
        <v>604</v>
      </c>
      <c r="D107" s="23"/>
      <c r="E107" s="23"/>
      <c r="F107" s="23"/>
      <c r="G107" s="23"/>
      <c r="H107" s="23">
        <v>1560</v>
      </c>
      <c r="I107" s="27"/>
      <c r="J107" s="24">
        <f t="shared" si="8"/>
        <v>42972.9</v>
      </c>
      <c r="K107" s="24">
        <f t="shared" si="9"/>
        <v>42453.12999999999</v>
      </c>
    </row>
    <row r="108" spans="2:11" x14ac:dyDescent="0.25">
      <c r="B108" s="31">
        <v>42546</v>
      </c>
      <c r="C108" s="21" t="s">
        <v>605</v>
      </c>
      <c r="D108" s="23"/>
      <c r="E108" s="23"/>
      <c r="F108" s="23"/>
      <c r="G108" s="23"/>
      <c r="H108" s="23">
        <v>2400</v>
      </c>
      <c r="I108" s="27"/>
      <c r="J108" s="24">
        <f t="shared" si="8"/>
        <v>42972.9</v>
      </c>
      <c r="K108" s="24">
        <f t="shared" si="9"/>
        <v>40053.12999999999</v>
      </c>
    </row>
    <row r="109" spans="2:11" x14ac:dyDescent="0.25">
      <c r="B109" s="31">
        <v>42546</v>
      </c>
      <c r="C109" s="21" t="s">
        <v>603</v>
      </c>
      <c r="D109" s="23"/>
      <c r="E109" s="23"/>
      <c r="F109" s="23"/>
      <c r="G109" s="23"/>
      <c r="H109" s="23">
        <v>168</v>
      </c>
      <c r="I109" s="27"/>
      <c r="J109" s="24">
        <f t="shared" si="8"/>
        <v>42972.9</v>
      </c>
      <c r="K109" s="24">
        <f t="shared" si="9"/>
        <v>39885.12999999999</v>
      </c>
    </row>
    <row r="110" spans="2:11" x14ac:dyDescent="0.25">
      <c r="B110" s="31">
        <v>42547</v>
      </c>
      <c r="C110" s="21" t="s">
        <v>606</v>
      </c>
      <c r="D110" s="23"/>
      <c r="E110" s="23"/>
      <c r="F110" s="23"/>
      <c r="G110" s="23"/>
      <c r="H110" s="23">
        <v>250</v>
      </c>
      <c r="I110" s="27"/>
      <c r="J110" s="24">
        <f t="shared" si="8"/>
        <v>42972.9</v>
      </c>
      <c r="K110" s="24">
        <f>+K109+D110-H110</f>
        <v>39635.12999999999</v>
      </c>
    </row>
    <row r="111" spans="2:11" x14ac:dyDescent="0.25">
      <c r="B111" s="31">
        <v>42547</v>
      </c>
      <c r="C111" s="21" t="s">
        <v>613</v>
      </c>
      <c r="D111" s="23"/>
      <c r="E111" s="23"/>
      <c r="F111" s="23"/>
      <c r="G111" s="23"/>
      <c r="H111" s="23">
        <v>100</v>
      </c>
      <c r="I111" s="27"/>
      <c r="J111" s="24">
        <f t="shared" si="8"/>
        <v>42972.9</v>
      </c>
      <c r="K111" s="24">
        <f>+K110+D111-H111</f>
        <v>39535.12999999999</v>
      </c>
    </row>
    <row r="112" spans="2:11" x14ac:dyDescent="0.25">
      <c r="B112" s="31">
        <v>42548</v>
      </c>
      <c r="C112" s="21" t="s">
        <v>608</v>
      </c>
      <c r="D112" s="23">
        <v>27210</v>
      </c>
      <c r="E112" s="23"/>
      <c r="F112" s="23"/>
      <c r="G112" s="23"/>
      <c r="H112" s="23"/>
      <c r="I112" s="27"/>
      <c r="J112" s="24">
        <f t="shared" si="8"/>
        <v>42972.9</v>
      </c>
      <c r="K112" s="24">
        <f>+K111+D112-H112</f>
        <v>66745.12999999999</v>
      </c>
    </row>
    <row r="113" spans="2:11" x14ac:dyDescent="0.25">
      <c r="B113" s="31">
        <v>42548</v>
      </c>
      <c r="C113" s="21" t="s">
        <v>609</v>
      </c>
      <c r="D113" s="23">
        <v>6750</v>
      </c>
      <c r="E113" s="23"/>
      <c r="F113" s="23"/>
      <c r="G113" s="23"/>
      <c r="H113" s="23"/>
      <c r="I113" s="27"/>
      <c r="J113" s="24">
        <f t="shared" si="8"/>
        <v>42972.9</v>
      </c>
      <c r="K113" s="24">
        <f t="shared" si="9"/>
        <v>73495.12999999999</v>
      </c>
    </row>
    <row r="114" spans="2:11" x14ac:dyDescent="0.25">
      <c r="B114" s="31">
        <v>42548</v>
      </c>
      <c r="C114" s="21" t="s">
        <v>621</v>
      </c>
      <c r="D114" s="23"/>
      <c r="E114" s="23"/>
      <c r="F114" s="23"/>
      <c r="G114" s="23">
        <v>2700</v>
      </c>
      <c r="H114" s="23"/>
      <c r="I114" s="27"/>
      <c r="J114" s="24">
        <f t="shared" ref="J114:J133" si="10">+J113+E114-G114</f>
        <v>40272.9</v>
      </c>
      <c r="K114" s="24">
        <f t="shared" ref="K114:K133" si="11">+K113+D114-H114</f>
        <v>73495.12999999999</v>
      </c>
    </row>
    <row r="115" spans="2:11" x14ac:dyDescent="0.25">
      <c r="B115" s="31">
        <v>42548</v>
      </c>
      <c r="C115" s="25" t="s">
        <v>607</v>
      </c>
      <c r="D115" s="73"/>
      <c r="E115" s="73"/>
      <c r="F115" s="73"/>
      <c r="G115" s="73"/>
      <c r="H115" s="23">
        <v>400</v>
      </c>
      <c r="I115" s="27"/>
      <c r="J115" s="24">
        <f t="shared" si="10"/>
        <v>40272.9</v>
      </c>
      <c r="K115" s="24">
        <f t="shared" si="11"/>
        <v>73095.12999999999</v>
      </c>
    </row>
    <row r="116" spans="2:11" x14ac:dyDescent="0.25">
      <c r="B116" s="31">
        <v>42548</v>
      </c>
      <c r="C116" s="25" t="s">
        <v>610</v>
      </c>
      <c r="D116" s="73"/>
      <c r="E116" s="73"/>
      <c r="F116" s="73"/>
      <c r="G116" s="28"/>
      <c r="H116" s="23">
        <v>150</v>
      </c>
      <c r="I116" s="27"/>
      <c r="J116" s="24">
        <f t="shared" si="10"/>
        <v>40272.9</v>
      </c>
      <c r="K116" s="24">
        <f t="shared" si="11"/>
        <v>72945.12999999999</v>
      </c>
    </row>
    <row r="117" spans="2:11" x14ac:dyDescent="0.25">
      <c r="B117" s="31">
        <v>42548</v>
      </c>
      <c r="C117" s="25" t="s">
        <v>287</v>
      </c>
      <c r="D117" s="73"/>
      <c r="E117" s="73"/>
      <c r="F117" s="73"/>
      <c r="G117" s="73"/>
      <c r="H117" s="23">
        <v>150</v>
      </c>
      <c r="I117" s="27"/>
      <c r="J117" s="24">
        <f t="shared" si="10"/>
        <v>40272.9</v>
      </c>
      <c r="K117" s="24">
        <f t="shared" si="11"/>
        <v>72795.12999999999</v>
      </c>
    </row>
    <row r="118" spans="2:11" x14ac:dyDescent="0.25">
      <c r="B118" s="31">
        <v>42548</v>
      </c>
      <c r="C118" s="21" t="s">
        <v>611</v>
      </c>
      <c r="D118" s="23"/>
      <c r="E118" s="23"/>
      <c r="F118" s="23"/>
      <c r="G118" s="23"/>
      <c r="H118" s="23">
        <v>550</v>
      </c>
      <c r="I118" s="27"/>
      <c r="J118" s="24">
        <f t="shared" si="10"/>
        <v>40272.9</v>
      </c>
      <c r="K118" s="24">
        <f t="shared" si="11"/>
        <v>72245.12999999999</v>
      </c>
    </row>
    <row r="119" spans="2:11" x14ac:dyDescent="0.25">
      <c r="B119" s="31">
        <v>42549</v>
      </c>
      <c r="C119" s="21" t="s">
        <v>612</v>
      </c>
      <c r="D119" s="23"/>
      <c r="E119" s="23">
        <v>12760</v>
      </c>
      <c r="F119" s="23"/>
      <c r="G119" s="23"/>
      <c r="H119" s="23"/>
      <c r="I119" s="27"/>
      <c r="J119" s="24">
        <f t="shared" si="10"/>
        <v>53032.9</v>
      </c>
      <c r="K119" s="24">
        <f t="shared" si="11"/>
        <v>72245.12999999999</v>
      </c>
    </row>
    <row r="120" spans="2:11" x14ac:dyDescent="0.25">
      <c r="B120" s="31">
        <v>42914</v>
      </c>
      <c r="C120" s="21" t="s">
        <v>624</v>
      </c>
      <c r="D120" s="23"/>
      <c r="E120" s="23"/>
      <c r="F120" s="23"/>
      <c r="G120" s="23"/>
      <c r="H120" s="23">
        <v>1249</v>
      </c>
      <c r="I120" s="27"/>
      <c r="J120" s="24">
        <f t="shared" si="10"/>
        <v>53032.9</v>
      </c>
      <c r="K120" s="24">
        <f t="shared" si="11"/>
        <v>70996.12999999999</v>
      </c>
    </row>
    <row r="121" spans="2:11" x14ac:dyDescent="0.25">
      <c r="B121" s="31">
        <v>42550</v>
      </c>
      <c r="C121" s="21" t="s">
        <v>614</v>
      </c>
      <c r="D121" s="23"/>
      <c r="E121" s="23"/>
      <c r="F121" s="23"/>
      <c r="G121" s="23"/>
      <c r="H121" s="23">
        <v>800</v>
      </c>
      <c r="I121" s="27"/>
      <c r="J121" s="24">
        <f t="shared" si="10"/>
        <v>53032.9</v>
      </c>
      <c r="K121" s="24">
        <f t="shared" si="11"/>
        <v>70196.12999999999</v>
      </c>
    </row>
    <row r="122" spans="2:11" x14ac:dyDescent="0.25">
      <c r="B122" s="31">
        <v>42550</v>
      </c>
      <c r="C122" s="21" t="s">
        <v>615</v>
      </c>
      <c r="D122" s="23"/>
      <c r="E122" s="23"/>
      <c r="F122" s="23"/>
      <c r="G122" s="23"/>
      <c r="H122" s="23">
        <v>520</v>
      </c>
      <c r="I122" s="27"/>
      <c r="J122" s="24">
        <f t="shared" si="10"/>
        <v>53032.9</v>
      </c>
      <c r="K122" s="24">
        <f t="shared" si="11"/>
        <v>69676.12999999999</v>
      </c>
    </row>
    <row r="123" spans="2:11" x14ac:dyDescent="0.25">
      <c r="B123" s="31">
        <v>42550</v>
      </c>
      <c r="C123" s="21" t="s">
        <v>568</v>
      </c>
      <c r="D123" s="23"/>
      <c r="E123" s="23"/>
      <c r="F123" s="23"/>
      <c r="G123" s="23"/>
      <c r="H123" s="23">
        <v>177</v>
      </c>
      <c r="I123" s="27"/>
      <c r="J123" s="24">
        <f t="shared" si="10"/>
        <v>53032.9</v>
      </c>
      <c r="K123" s="24">
        <f t="shared" si="11"/>
        <v>69499.12999999999</v>
      </c>
    </row>
    <row r="124" spans="2:11" x14ac:dyDescent="0.25">
      <c r="B124" s="31">
        <v>42551</v>
      </c>
      <c r="C124" s="21" t="s">
        <v>525</v>
      </c>
      <c r="D124" s="23"/>
      <c r="E124" s="23"/>
      <c r="F124" s="23"/>
      <c r="G124" s="23"/>
      <c r="H124" s="23">
        <v>329</v>
      </c>
      <c r="I124" s="27"/>
      <c r="J124" s="24">
        <f t="shared" si="10"/>
        <v>53032.9</v>
      </c>
      <c r="K124" s="24">
        <f t="shared" si="11"/>
        <v>69170.12999999999</v>
      </c>
    </row>
    <row r="125" spans="2:11" x14ac:dyDescent="0.25">
      <c r="B125" s="31">
        <v>42551</v>
      </c>
      <c r="C125" s="21" t="s">
        <v>616</v>
      </c>
      <c r="D125" s="23"/>
      <c r="E125" s="23"/>
      <c r="F125" s="23"/>
      <c r="G125" s="23"/>
      <c r="H125" s="23">
        <v>450</v>
      </c>
      <c r="I125" s="27"/>
      <c r="J125" s="24">
        <f t="shared" si="10"/>
        <v>53032.9</v>
      </c>
      <c r="K125" s="24">
        <f t="shared" si="11"/>
        <v>68720.12999999999</v>
      </c>
    </row>
    <row r="126" spans="2:11" x14ac:dyDescent="0.25">
      <c r="B126" s="31">
        <v>42551</v>
      </c>
      <c r="C126" s="21" t="s">
        <v>507</v>
      </c>
      <c r="D126" s="23"/>
      <c r="E126" s="23"/>
      <c r="F126" s="23"/>
      <c r="G126" s="23"/>
      <c r="H126" s="23">
        <v>650</v>
      </c>
      <c r="I126" s="27"/>
      <c r="J126" s="24">
        <f t="shared" si="10"/>
        <v>53032.9</v>
      </c>
      <c r="K126" s="24">
        <f t="shared" si="11"/>
        <v>68070.12999999999</v>
      </c>
    </row>
    <row r="127" spans="2:11" x14ac:dyDescent="0.25">
      <c r="B127" s="31">
        <v>42551</v>
      </c>
      <c r="C127" s="21" t="s">
        <v>615</v>
      </c>
      <c r="D127" s="23"/>
      <c r="E127" s="23"/>
      <c r="F127" s="23"/>
      <c r="G127" s="23"/>
      <c r="H127" s="23">
        <v>750</v>
      </c>
      <c r="I127" s="27"/>
      <c r="J127" s="24">
        <f t="shared" si="10"/>
        <v>53032.9</v>
      </c>
      <c r="K127" s="24">
        <f t="shared" si="11"/>
        <v>67320.12999999999</v>
      </c>
    </row>
    <row r="128" spans="2:11" x14ac:dyDescent="0.25">
      <c r="B128" s="31">
        <v>42551</v>
      </c>
      <c r="C128" s="21" t="s">
        <v>615</v>
      </c>
      <c r="D128" s="23"/>
      <c r="E128" s="23"/>
      <c r="F128" s="23"/>
      <c r="G128" s="23"/>
      <c r="H128" s="23">
        <v>560</v>
      </c>
      <c r="I128" s="27"/>
      <c r="J128" s="24">
        <f t="shared" si="10"/>
        <v>53032.9</v>
      </c>
      <c r="K128" s="24">
        <f t="shared" si="11"/>
        <v>66760.12999999999</v>
      </c>
    </row>
    <row r="129" spans="2:11" x14ac:dyDescent="0.25">
      <c r="B129" s="31">
        <v>42551</v>
      </c>
      <c r="C129" s="25" t="s">
        <v>617</v>
      </c>
      <c r="D129" s="73"/>
      <c r="E129" s="73"/>
      <c r="F129" s="73"/>
      <c r="G129" s="73"/>
      <c r="H129" s="23">
        <v>2700</v>
      </c>
      <c r="I129" s="27"/>
      <c r="J129" s="24">
        <f t="shared" si="10"/>
        <v>53032.9</v>
      </c>
      <c r="K129" s="24">
        <f t="shared" si="11"/>
        <v>64060.12999999999</v>
      </c>
    </row>
    <row r="130" spans="2:11" x14ac:dyDescent="0.25">
      <c r="B130" s="31">
        <v>42551</v>
      </c>
      <c r="C130" s="25" t="s">
        <v>618</v>
      </c>
      <c r="D130" s="73"/>
      <c r="E130" s="73"/>
      <c r="F130" s="73"/>
      <c r="G130" s="28"/>
      <c r="H130" s="23">
        <v>29000</v>
      </c>
      <c r="I130" s="27"/>
      <c r="J130" s="24">
        <f t="shared" si="10"/>
        <v>53032.9</v>
      </c>
      <c r="K130" s="24">
        <f t="shared" si="11"/>
        <v>35060.12999999999</v>
      </c>
    </row>
    <row r="131" spans="2:11" x14ac:dyDescent="0.25">
      <c r="B131" s="31">
        <v>42551</v>
      </c>
      <c r="C131" s="25" t="s">
        <v>565</v>
      </c>
      <c r="D131" s="73"/>
      <c r="E131" s="73"/>
      <c r="F131" s="73"/>
      <c r="G131" s="73"/>
      <c r="H131" s="23">
        <v>4000</v>
      </c>
      <c r="I131" s="27"/>
      <c r="J131" s="24">
        <f t="shared" si="10"/>
        <v>53032.9</v>
      </c>
      <c r="K131" s="24">
        <f t="shared" si="11"/>
        <v>31060.12999999999</v>
      </c>
    </row>
    <row r="132" spans="2:11" x14ac:dyDescent="0.25">
      <c r="B132" s="31">
        <v>42551</v>
      </c>
      <c r="C132" s="21" t="s">
        <v>622</v>
      </c>
      <c r="D132" s="23"/>
      <c r="E132" s="23"/>
      <c r="F132" s="23"/>
      <c r="G132" s="23">
        <v>84</v>
      </c>
      <c r="H132" s="23"/>
      <c r="I132" s="27"/>
      <c r="J132" s="24">
        <f t="shared" si="10"/>
        <v>52948.9</v>
      </c>
      <c r="K132" s="24">
        <f t="shared" si="11"/>
        <v>31060.12999999999</v>
      </c>
    </row>
    <row r="133" spans="2:11" ht="15.75" thickBot="1" x14ac:dyDescent="0.3">
      <c r="B133" s="31">
        <v>42551</v>
      </c>
      <c r="C133" s="21" t="s">
        <v>623</v>
      </c>
      <c r="D133" s="23"/>
      <c r="E133" s="23"/>
      <c r="F133" s="23"/>
      <c r="G133" s="23">
        <v>13.44</v>
      </c>
      <c r="H133" s="92"/>
      <c r="I133" s="27"/>
      <c r="J133" s="24">
        <f t="shared" si="10"/>
        <v>52935.46</v>
      </c>
      <c r="K133" s="24">
        <f t="shared" si="11"/>
        <v>31060.12999999999</v>
      </c>
    </row>
    <row r="134" spans="2:11" ht="15.75" thickBot="1" x14ac:dyDescent="0.3">
      <c r="B134" s="13"/>
      <c r="C134" s="16" t="s">
        <v>0</v>
      </c>
      <c r="D134" s="105">
        <f>SUM(D97:D133)</f>
        <v>135735</v>
      </c>
      <c r="E134" s="103">
        <f>SUM(E97:E133)</f>
        <v>13060.46</v>
      </c>
      <c r="F134" s="114">
        <f>SUM(D134:E134)</f>
        <v>148795.46</v>
      </c>
      <c r="G134" s="126">
        <f>SUM(G97:G133)</f>
        <v>19346.439999999999</v>
      </c>
      <c r="H134" s="105">
        <f>SUM(H97:H133)</f>
        <v>108304.15</v>
      </c>
      <c r="I134" s="114">
        <f>SUM(G134:H134)</f>
        <v>127650.59</v>
      </c>
      <c r="J134" s="33"/>
      <c r="K134" s="33"/>
    </row>
    <row r="135" spans="2:11" ht="15.75" thickBot="1" x14ac:dyDescent="0.3"/>
    <row r="136" spans="2:11" ht="15.75" thickBot="1" x14ac:dyDescent="0.3">
      <c r="I136" s="117" t="s">
        <v>174</v>
      </c>
      <c r="J136" s="117" t="s">
        <v>173</v>
      </c>
      <c r="K136" s="141" t="s">
        <v>0</v>
      </c>
    </row>
    <row r="137" spans="2:11" ht="15.75" thickBot="1" x14ac:dyDescent="0.3">
      <c r="I137" s="39">
        <v>52935.46</v>
      </c>
      <c r="J137" s="39">
        <v>31060.13</v>
      </c>
      <c r="K137" s="33">
        <f>SUM(I137:J137)</f>
        <v>83995.59</v>
      </c>
    </row>
  </sheetData>
  <printOptions verticalCentered="1"/>
  <pageMargins left="0.39370078740157483" right="0" top="0" bottom="0" header="0.31496062992125984" footer="0.31496062992125984"/>
  <pageSetup paperSize="9" scale="83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B1:K139"/>
  <sheetViews>
    <sheetView zoomScaleNormal="100" workbookViewId="0">
      <pane ySplit="3" topLeftCell="A129" activePane="bottomLeft" state="frozen"/>
      <selection pane="bottomLeft" activeCell="D129" sqref="D129"/>
    </sheetView>
  </sheetViews>
  <sheetFormatPr baseColWidth="10" defaultRowHeight="15" x14ac:dyDescent="0.25"/>
  <cols>
    <col min="1" max="2" width="10.7109375" customWidth="1"/>
    <col min="3" max="3" width="69.28515625" customWidth="1"/>
    <col min="4" max="6" width="11.42578125" customWidth="1"/>
    <col min="8" max="10" width="11.42578125" customWidth="1"/>
    <col min="11" max="11" width="11.7109375" customWidth="1"/>
  </cols>
  <sheetData>
    <row r="1" spans="2:11" ht="16.5" thickBot="1" x14ac:dyDescent="0.3">
      <c r="B1" s="125"/>
      <c r="C1" s="127" t="s">
        <v>733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1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42551</v>
      </c>
      <c r="C4" s="108" t="s">
        <v>739</v>
      </c>
      <c r="D4" s="109"/>
      <c r="E4" s="106"/>
      <c r="F4" s="106"/>
      <c r="G4" s="106"/>
      <c r="H4" s="30"/>
      <c r="I4" s="107"/>
      <c r="J4" s="116">
        <v>52935.46</v>
      </c>
      <c r="K4" s="110">
        <v>31060.13</v>
      </c>
    </row>
    <row r="5" spans="2:11" x14ac:dyDescent="0.25">
      <c r="B5" s="36">
        <v>42552</v>
      </c>
      <c r="C5" s="21" t="s">
        <v>626</v>
      </c>
      <c r="D5" s="23"/>
      <c r="E5" s="23"/>
      <c r="F5" s="23"/>
      <c r="G5" s="23"/>
      <c r="H5" s="23">
        <v>550</v>
      </c>
      <c r="I5" s="27"/>
      <c r="J5" s="24">
        <f>+J4+E5-G5</f>
        <v>52935.46</v>
      </c>
      <c r="K5" s="24">
        <f>+K4+D5-H5</f>
        <v>30510.13</v>
      </c>
    </row>
    <row r="6" spans="2:11" x14ac:dyDescent="0.25">
      <c r="B6" s="36">
        <v>42552</v>
      </c>
      <c r="C6" s="25" t="s">
        <v>627</v>
      </c>
      <c r="D6" s="23"/>
      <c r="E6" s="23"/>
      <c r="F6" s="23"/>
      <c r="G6" s="23"/>
      <c r="H6" s="23">
        <v>143</v>
      </c>
      <c r="I6" s="27"/>
      <c r="J6" s="24">
        <f>+J5+E6-G6</f>
        <v>52935.46</v>
      </c>
      <c r="K6" s="24">
        <f t="shared" ref="K6:K22" si="0">+K5+D6-H6</f>
        <v>30367.13</v>
      </c>
    </row>
    <row r="7" spans="2:11" x14ac:dyDescent="0.25">
      <c r="B7" s="31">
        <v>42552</v>
      </c>
      <c r="C7" s="21" t="s">
        <v>628</v>
      </c>
      <c r="D7" s="23"/>
      <c r="E7" s="23"/>
      <c r="F7" s="23"/>
      <c r="G7" s="23"/>
      <c r="H7" s="92">
        <v>15</v>
      </c>
      <c r="I7" s="27"/>
      <c r="J7" s="24">
        <f t="shared" ref="J7:J25" si="1">+J6+E7-G7</f>
        <v>52935.46</v>
      </c>
      <c r="K7" s="24">
        <f t="shared" si="0"/>
        <v>30352.13</v>
      </c>
    </row>
    <row r="8" spans="2:11" x14ac:dyDescent="0.25">
      <c r="B8" s="31">
        <v>42552</v>
      </c>
      <c r="C8" s="25" t="s">
        <v>17</v>
      </c>
      <c r="D8" s="23"/>
      <c r="E8" s="23"/>
      <c r="F8" s="23"/>
      <c r="G8" s="23"/>
      <c r="H8" s="23">
        <v>142</v>
      </c>
      <c r="I8" s="27"/>
      <c r="J8" s="24">
        <f t="shared" si="1"/>
        <v>52935.46</v>
      </c>
      <c r="K8" s="24">
        <f t="shared" si="0"/>
        <v>30210.13</v>
      </c>
    </row>
    <row r="9" spans="2:11" x14ac:dyDescent="0.25">
      <c r="B9" s="31">
        <v>42552</v>
      </c>
      <c r="C9" s="21" t="s">
        <v>629</v>
      </c>
      <c r="D9" s="23"/>
      <c r="E9" s="23"/>
      <c r="F9" s="23"/>
      <c r="G9" s="23"/>
      <c r="H9" s="92">
        <v>280</v>
      </c>
      <c r="I9" s="27"/>
      <c r="J9" s="24">
        <f t="shared" si="1"/>
        <v>52935.46</v>
      </c>
      <c r="K9" s="24">
        <f t="shared" si="0"/>
        <v>29930.13</v>
      </c>
    </row>
    <row r="10" spans="2:11" x14ac:dyDescent="0.25">
      <c r="B10" s="31">
        <v>42552</v>
      </c>
      <c r="C10" s="21" t="s">
        <v>630</v>
      </c>
      <c r="D10" s="23"/>
      <c r="E10" s="23"/>
      <c r="F10" s="23"/>
      <c r="G10" s="23"/>
      <c r="H10" s="23">
        <v>200</v>
      </c>
      <c r="I10" s="27"/>
      <c r="J10" s="24">
        <f t="shared" si="1"/>
        <v>52935.46</v>
      </c>
      <c r="K10" s="24">
        <f t="shared" si="0"/>
        <v>29730.13</v>
      </c>
    </row>
    <row r="11" spans="2:11" x14ac:dyDescent="0.25">
      <c r="B11" s="31">
        <v>42552</v>
      </c>
      <c r="C11" s="21" t="s">
        <v>631</v>
      </c>
      <c r="D11" s="23"/>
      <c r="E11" s="23"/>
      <c r="F11" s="23"/>
      <c r="G11" s="23"/>
      <c r="H11" s="23">
        <v>1000</v>
      </c>
      <c r="I11" s="27"/>
      <c r="J11" s="24">
        <f t="shared" si="1"/>
        <v>52935.46</v>
      </c>
      <c r="K11" s="24">
        <f t="shared" si="0"/>
        <v>28730.13</v>
      </c>
    </row>
    <row r="12" spans="2:11" x14ac:dyDescent="0.25">
      <c r="B12" s="31">
        <v>42554</v>
      </c>
      <c r="C12" s="21" t="s">
        <v>632</v>
      </c>
      <c r="D12" s="23"/>
      <c r="E12" s="23"/>
      <c r="F12" s="23"/>
      <c r="G12" s="23"/>
      <c r="H12" s="92">
        <v>73</v>
      </c>
      <c r="I12" s="27"/>
      <c r="J12" s="24">
        <f t="shared" si="1"/>
        <v>52935.46</v>
      </c>
      <c r="K12" s="24">
        <f t="shared" si="0"/>
        <v>28657.13</v>
      </c>
    </row>
    <row r="13" spans="2:11" x14ac:dyDescent="0.25">
      <c r="B13" s="31">
        <v>42554</v>
      </c>
      <c r="C13" s="21" t="s">
        <v>777</v>
      </c>
      <c r="D13" s="23"/>
      <c r="E13" s="23"/>
      <c r="F13" s="23"/>
      <c r="G13" s="23"/>
      <c r="H13" s="23">
        <v>94.7</v>
      </c>
      <c r="I13" s="27"/>
      <c r="J13" s="24">
        <f t="shared" si="1"/>
        <v>52935.46</v>
      </c>
      <c r="K13" s="24">
        <f t="shared" si="0"/>
        <v>28562.43</v>
      </c>
    </row>
    <row r="14" spans="2:11" x14ac:dyDescent="0.25">
      <c r="B14" s="31">
        <v>42554</v>
      </c>
      <c r="C14" s="21" t="s">
        <v>633</v>
      </c>
      <c r="D14" s="23"/>
      <c r="E14" s="23"/>
      <c r="F14" s="23"/>
      <c r="G14" s="23"/>
      <c r="H14" s="92">
        <v>119</v>
      </c>
      <c r="I14" s="27"/>
      <c r="J14" s="24">
        <f t="shared" si="1"/>
        <v>52935.46</v>
      </c>
      <c r="K14" s="24">
        <f t="shared" si="0"/>
        <v>28443.43</v>
      </c>
    </row>
    <row r="15" spans="2:11" x14ac:dyDescent="0.25">
      <c r="B15" s="31">
        <v>42554</v>
      </c>
      <c r="C15" s="21" t="s">
        <v>634</v>
      </c>
      <c r="D15" s="23">
        <v>30325</v>
      </c>
      <c r="E15" s="23"/>
      <c r="F15" s="23"/>
      <c r="G15" s="23"/>
      <c r="H15" s="23"/>
      <c r="I15" s="27"/>
      <c r="J15" s="24">
        <f t="shared" si="1"/>
        <v>52935.46</v>
      </c>
      <c r="K15" s="24">
        <f t="shared" si="0"/>
        <v>58768.43</v>
      </c>
    </row>
    <row r="16" spans="2:11" x14ac:dyDescent="0.25">
      <c r="B16" s="31">
        <v>42554</v>
      </c>
      <c r="C16" s="21" t="s">
        <v>634</v>
      </c>
      <c r="D16" s="23">
        <v>4950</v>
      </c>
      <c r="E16" s="23"/>
      <c r="F16" s="23"/>
      <c r="G16" s="23"/>
      <c r="H16" s="23"/>
      <c r="I16" s="27"/>
      <c r="J16" s="24">
        <f t="shared" si="1"/>
        <v>52935.46</v>
      </c>
      <c r="K16" s="24">
        <f t="shared" si="0"/>
        <v>63718.43</v>
      </c>
    </row>
    <row r="17" spans="2:11" x14ac:dyDescent="0.25">
      <c r="B17" s="31">
        <v>42555</v>
      </c>
      <c r="C17" s="21" t="s">
        <v>635</v>
      </c>
      <c r="D17" s="23"/>
      <c r="E17" s="23"/>
      <c r="F17" s="23"/>
      <c r="G17" s="23"/>
      <c r="H17" s="23">
        <v>60</v>
      </c>
      <c r="I17" s="27"/>
      <c r="J17" s="24">
        <f t="shared" si="1"/>
        <v>52935.46</v>
      </c>
      <c r="K17" s="24">
        <f t="shared" si="0"/>
        <v>63658.43</v>
      </c>
    </row>
    <row r="18" spans="2:11" x14ac:dyDescent="0.25">
      <c r="B18" s="31">
        <v>42555</v>
      </c>
      <c r="C18" s="21" t="s">
        <v>636</v>
      </c>
      <c r="D18" s="23"/>
      <c r="E18" s="23"/>
      <c r="F18" s="23"/>
      <c r="G18" s="23"/>
      <c r="H18" s="23">
        <v>96</v>
      </c>
      <c r="I18" s="27"/>
      <c r="J18" s="24">
        <f t="shared" si="1"/>
        <v>52935.46</v>
      </c>
      <c r="K18" s="24">
        <f t="shared" si="0"/>
        <v>63562.43</v>
      </c>
    </row>
    <row r="19" spans="2:11" x14ac:dyDescent="0.25">
      <c r="B19" s="31">
        <v>42555</v>
      </c>
      <c r="C19" s="21" t="s">
        <v>637</v>
      </c>
      <c r="D19" s="23"/>
      <c r="E19" s="23"/>
      <c r="F19" s="23"/>
      <c r="G19" s="23"/>
      <c r="H19" s="23">
        <v>430</v>
      </c>
      <c r="I19" s="27"/>
      <c r="J19" s="24">
        <f t="shared" si="1"/>
        <v>52935.46</v>
      </c>
      <c r="K19" s="24">
        <f t="shared" si="0"/>
        <v>63132.43</v>
      </c>
    </row>
    <row r="20" spans="2:11" x14ac:dyDescent="0.25">
      <c r="B20" s="31">
        <v>42555</v>
      </c>
      <c r="C20" s="21" t="s">
        <v>531</v>
      </c>
      <c r="D20" s="23"/>
      <c r="E20" s="23"/>
      <c r="F20" s="23"/>
      <c r="G20" s="23"/>
      <c r="H20" s="23">
        <v>113</v>
      </c>
      <c r="I20" s="27"/>
      <c r="J20" s="24">
        <f t="shared" si="1"/>
        <v>52935.46</v>
      </c>
      <c r="K20" s="24">
        <f t="shared" si="0"/>
        <v>63019.43</v>
      </c>
    </row>
    <row r="21" spans="2:11" x14ac:dyDescent="0.25">
      <c r="B21" s="31">
        <v>42555</v>
      </c>
      <c r="C21" s="21" t="s">
        <v>638</v>
      </c>
      <c r="D21" s="23"/>
      <c r="E21" s="23"/>
      <c r="F21" s="23"/>
      <c r="G21" s="23"/>
      <c r="H21" s="92">
        <v>400</v>
      </c>
      <c r="I21" s="27"/>
      <c r="J21" s="24">
        <f t="shared" si="1"/>
        <v>52935.46</v>
      </c>
      <c r="K21" s="24">
        <f t="shared" si="0"/>
        <v>62619.43</v>
      </c>
    </row>
    <row r="22" spans="2:11" x14ac:dyDescent="0.25">
      <c r="B22" s="31">
        <v>42557</v>
      </c>
      <c r="C22" s="21" t="s">
        <v>531</v>
      </c>
      <c r="D22" s="23"/>
      <c r="E22" s="23"/>
      <c r="F22" s="23"/>
      <c r="G22" s="23"/>
      <c r="H22" s="92">
        <v>70</v>
      </c>
      <c r="I22" s="27"/>
      <c r="J22" s="24">
        <f t="shared" si="1"/>
        <v>52935.46</v>
      </c>
      <c r="K22" s="24">
        <f t="shared" si="0"/>
        <v>62549.43</v>
      </c>
    </row>
    <row r="23" spans="2:11" x14ac:dyDescent="0.25">
      <c r="B23" s="31">
        <v>42557</v>
      </c>
      <c r="C23" s="21" t="s">
        <v>639</v>
      </c>
      <c r="D23" s="23"/>
      <c r="E23" s="23"/>
      <c r="F23" s="23"/>
      <c r="G23" s="23"/>
      <c r="H23" s="23">
        <v>215.6</v>
      </c>
      <c r="I23" s="27"/>
      <c r="J23" s="24">
        <f t="shared" si="1"/>
        <v>52935.46</v>
      </c>
      <c r="K23" s="24">
        <f>+K22+D23-H23</f>
        <v>62333.83</v>
      </c>
    </row>
    <row r="24" spans="2:11" x14ac:dyDescent="0.25">
      <c r="B24" s="31">
        <v>42557</v>
      </c>
      <c r="C24" s="21" t="s">
        <v>640</v>
      </c>
      <c r="D24" s="23"/>
      <c r="E24" s="23"/>
      <c r="F24" s="23"/>
      <c r="G24" s="23"/>
      <c r="H24" s="23">
        <v>1990.88</v>
      </c>
      <c r="I24" s="27"/>
      <c r="J24" s="24">
        <f t="shared" si="1"/>
        <v>52935.46</v>
      </c>
      <c r="K24" s="24">
        <f>+K23+D24-H24</f>
        <v>60342.950000000004</v>
      </c>
    </row>
    <row r="25" spans="2:11" x14ac:dyDescent="0.25">
      <c r="B25" s="31">
        <v>42557</v>
      </c>
      <c r="C25" s="21" t="s">
        <v>641</v>
      </c>
      <c r="D25" s="23"/>
      <c r="E25" s="23"/>
      <c r="F25" s="23"/>
      <c r="G25" s="23"/>
      <c r="H25" s="23">
        <v>3586.15</v>
      </c>
      <c r="I25" s="27"/>
      <c r="J25" s="24">
        <f t="shared" si="1"/>
        <v>52935.46</v>
      </c>
      <c r="K25" s="24">
        <f>+K24+D25-H25</f>
        <v>56756.800000000003</v>
      </c>
    </row>
    <row r="26" spans="2:11" x14ac:dyDescent="0.25">
      <c r="B26" s="31">
        <v>42557</v>
      </c>
      <c r="C26" s="21" t="s">
        <v>773</v>
      </c>
      <c r="D26" s="23"/>
      <c r="E26" s="23"/>
      <c r="F26" s="23"/>
      <c r="G26" s="23">
        <v>25.2</v>
      </c>
      <c r="H26" s="23"/>
      <c r="I26" s="27"/>
      <c r="J26" s="24">
        <f t="shared" ref="J26:J46" si="2">+J25+E26-G26</f>
        <v>52910.26</v>
      </c>
      <c r="K26" s="24">
        <f t="shared" ref="K26:K46" si="3">+K25+D26-H26</f>
        <v>56756.800000000003</v>
      </c>
    </row>
    <row r="27" spans="2:11" x14ac:dyDescent="0.25">
      <c r="B27" s="31">
        <v>42557</v>
      </c>
      <c r="C27" s="21" t="s">
        <v>774</v>
      </c>
      <c r="D27" s="23"/>
      <c r="E27" s="23"/>
      <c r="F27" s="23"/>
      <c r="G27" s="23">
        <v>4.8</v>
      </c>
      <c r="H27" s="23"/>
      <c r="I27" s="27"/>
      <c r="J27" s="24">
        <f t="shared" si="2"/>
        <v>52905.46</v>
      </c>
      <c r="K27" s="24">
        <f t="shared" si="3"/>
        <v>56756.800000000003</v>
      </c>
    </row>
    <row r="28" spans="2:11" x14ac:dyDescent="0.25">
      <c r="B28" s="31">
        <v>42558</v>
      </c>
      <c r="C28" s="21" t="s">
        <v>642</v>
      </c>
      <c r="D28" s="23"/>
      <c r="E28" s="23"/>
      <c r="F28" s="23"/>
      <c r="G28" s="23"/>
      <c r="H28" s="23">
        <v>457.1</v>
      </c>
      <c r="I28" s="27"/>
      <c r="J28" s="24">
        <f t="shared" si="2"/>
        <v>52905.46</v>
      </c>
      <c r="K28" s="24">
        <f t="shared" si="3"/>
        <v>56299.700000000004</v>
      </c>
    </row>
    <row r="29" spans="2:11" x14ac:dyDescent="0.25">
      <c r="B29" s="31">
        <v>42558</v>
      </c>
      <c r="C29" s="21" t="s">
        <v>642</v>
      </c>
      <c r="D29" s="23"/>
      <c r="E29" s="23"/>
      <c r="F29" s="23"/>
      <c r="G29" s="23"/>
      <c r="H29" s="23">
        <v>58.5</v>
      </c>
      <c r="I29" s="27"/>
      <c r="J29" s="24">
        <f t="shared" si="2"/>
        <v>52905.46</v>
      </c>
      <c r="K29" s="24">
        <f t="shared" si="3"/>
        <v>56241.200000000004</v>
      </c>
    </row>
    <row r="30" spans="2:11" x14ac:dyDescent="0.25">
      <c r="B30" s="31">
        <v>42558</v>
      </c>
      <c r="C30" s="21" t="s">
        <v>642</v>
      </c>
      <c r="D30" s="23"/>
      <c r="E30" s="23"/>
      <c r="F30" s="23"/>
      <c r="G30" s="23"/>
      <c r="H30" s="23">
        <v>785.5</v>
      </c>
      <c r="I30" s="27"/>
      <c r="J30" s="24">
        <f t="shared" si="2"/>
        <v>52905.46</v>
      </c>
      <c r="K30" s="24">
        <f t="shared" si="3"/>
        <v>55455.700000000004</v>
      </c>
    </row>
    <row r="31" spans="2:11" x14ac:dyDescent="0.25">
      <c r="B31" s="31">
        <v>42558</v>
      </c>
      <c r="C31" s="21" t="s">
        <v>643</v>
      </c>
      <c r="D31" s="23"/>
      <c r="E31" s="23"/>
      <c r="F31" s="23"/>
      <c r="G31" s="23"/>
      <c r="H31" s="23">
        <v>300</v>
      </c>
      <c r="I31" s="27"/>
      <c r="J31" s="24">
        <f t="shared" si="2"/>
        <v>52905.46</v>
      </c>
      <c r="K31" s="24">
        <f t="shared" si="3"/>
        <v>55155.700000000004</v>
      </c>
    </row>
    <row r="32" spans="2:11" x14ac:dyDescent="0.25">
      <c r="B32" s="31">
        <v>42558</v>
      </c>
      <c r="C32" s="21" t="s">
        <v>41</v>
      </c>
      <c r="D32" s="23"/>
      <c r="E32" s="23"/>
      <c r="F32" s="23"/>
      <c r="G32" s="23"/>
      <c r="H32" s="92">
        <v>130</v>
      </c>
      <c r="I32" s="27"/>
      <c r="J32" s="24">
        <f t="shared" si="2"/>
        <v>52905.46</v>
      </c>
      <c r="K32" s="24">
        <f t="shared" si="3"/>
        <v>55025.700000000004</v>
      </c>
    </row>
    <row r="33" spans="2:11" x14ac:dyDescent="0.25">
      <c r="B33" s="31">
        <v>42559</v>
      </c>
      <c r="C33" s="21" t="s">
        <v>644</v>
      </c>
      <c r="D33" s="23"/>
      <c r="E33" s="23"/>
      <c r="F33" s="23"/>
      <c r="G33" s="23"/>
      <c r="H33" s="23">
        <v>1000</v>
      </c>
      <c r="I33" s="27"/>
      <c r="J33" s="24">
        <f t="shared" si="2"/>
        <v>52905.46</v>
      </c>
      <c r="K33" s="24">
        <f t="shared" si="3"/>
        <v>54025.700000000004</v>
      </c>
    </row>
    <row r="34" spans="2:11" x14ac:dyDescent="0.25">
      <c r="B34" s="31">
        <v>42559</v>
      </c>
      <c r="C34" s="21" t="s">
        <v>645</v>
      </c>
      <c r="D34" s="23"/>
      <c r="E34" s="23"/>
      <c r="F34" s="23"/>
      <c r="G34" s="23"/>
      <c r="H34" s="23">
        <v>49.5</v>
      </c>
      <c r="I34" s="27"/>
      <c r="J34" s="24">
        <f t="shared" si="2"/>
        <v>52905.46</v>
      </c>
      <c r="K34" s="24">
        <f t="shared" si="3"/>
        <v>53976.200000000004</v>
      </c>
    </row>
    <row r="35" spans="2:11" x14ac:dyDescent="0.25">
      <c r="B35" s="31">
        <v>42559</v>
      </c>
      <c r="C35" s="21" t="s">
        <v>646</v>
      </c>
      <c r="D35" s="23"/>
      <c r="E35" s="23"/>
      <c r="F35" s="23"/>
      <c r="G35" s="23"/>
      <c r="H35" s="23">
        <v>410</v>
      </c>
      <c r="I35" s="27"/>
      <c r="J35" s="24">
        <f t="shared" si="2"/>
        <v>52905.46</v>
      </c>
      <c r="K35" s="24">
        <f t="shared" si="3"/>
        <v>53566.200000000004</v>
      </c>
    </row>
    <row r="36" spans="2:11" x14ac:dyDescent="0.25">
      <c r="B36" s="31">
        <v>42559</v>
      </c>
      <c r="C36" s="21" t="s">
        <v>647</v>
      </c>
      <c r="D36" s="23"/>
      <c r="E36" s="23"/>
      <c r="F36" s="23"/>
      <c r="G36" s="23"/>
      <c r="H36" s="23">
        <v>200</v>
      </c>
      <c r="I36" s="27"/>
      <c r="J36" s="24">
        <f t="shared" si="2"/>
        <v>52905.46</v>
      </c>
      <c r="K36" s="24">
        <f t="shared" si="3"/>
        <v>53366.200000000004</v>
      </c>
    </row>
    <row r="37" spans="2:11" x14ac:dyDescent="0.25">
      <c r="B37" s="31">
        <v>42559</v>
      </c>
      <c r="C37" s="21" t="s">
        <v>648</v>
      </c>
      <c r="D37" s="23"/>
      <c r="E37" s="23"/>
      <c r="F37" s="23"/>
      <c r="G37" s="23"/>
      <c r="H37" s="23">
        <v>500</v>
      </c>
      <c r="I37" s="27"/>
      <c r="J37" s="24">
        <f t="shared" si="2"/>
        <v>52905.46</v>
      </c>
      <c r="K37" s="24">
        <f t="shared" si="3"/>
        <v>52866.200000000004</v>
      </c>
    </row>
    <row r="38" spans="2:11" x14ac:dyDescent="0.25">
      <c r="B38" s="31">
        <v>42561</v>
      </c>
      <c r="C38" s="21" t="s">
        <v>649</v>
      </c>
      <c r="D38" s="23"/>
      <c r="E38" s="23"/>
      <c r="F38" s="23"/>
      <c r="G38" s="23"/>
      <c r="H38" s="23">
        <v>76.400000000000006</v>
      </c>
      <c r="I38" s="27"/>
      <c r="J38" s="24">
        <f t="shared" si="2"/>
        <v>52905.46</v>
      </c>
      <c r="K38" s="24">
        <f t="shared" si="3"/>
        <v>52789.8</v>
      </c>
    </row>
    <row r="39" spans="2:11" x14ac:dyDescent="0.25">
      <c r="B39" s="31">
        <v>42561</v>
      </c>
      <c r="C39" s="21" t="s">
        <v>650</v>
      </c>
      <c r="D39" s="23"/>
      <c r="E39" s="23"/>
      <c r="F39" s="23"/>
      <c r="G39" s="23"/>
      <c r="H39" s="23">
        <v>50</v>
      </c>
      <c r="I39" s="27"/>
      <c r="J39" s="24">
        <f t="shared" si="2"/>
        <v>52905.46</v>
      </c>
      <c r="K39" s="24">
        <f t="shared" si="3"/>
        <v>52739.8</v>
      </c>
    </row>
    <row r="40" spans="2:11" x14ac:dyDescent="0.25">
      <c r="B40" s="31">
        <v>42562</v>
      </c>
      <c r="C40" s="21" t="s">
        <v>41</v>
      </c>
      <c r="D40" s="23"/>
      <c r="E40" s="23"/>
      <c r="F40" s="23"/>
      <c r="G40" s="23"/>
      <c r="H40" s="23">
        <v>110</v>
      </c>
      <c r="I40" s="27"/>
      <c r="J40" s="24">
        <f t="shared" si="2"/>
        <v>52905.46</v>
      </c>
      <c r="K40" s="24">
        <f t="shared" si="3"/>
        <v>52629.8</v>
      </c>
    </row>
    <row r="41" spans="2:11" x14ac:dyDescent="0.25">
      <c r="B41" s="31">
        <v>42562</v>
      </c>
      <c r="C41" s="21" t="s">
        <v>531</v>
      </c>
      <c r="D41" s="23"/>
      <c r="E41" s="23"/>
      <c r="F41" s="23"/>
      <c r="G41" s="23"/>
      <c r="H41" s="23">
        <v>70</v>
      </c>
      <c r="I41" s="27"/>
      <c r="J41" s="24">
        <f t="shared" si="2"/>
        <v>52905.46</v>
      </c>
      <c r="K41" s="24">
        <f t="shared" si="3"/>
        <v>52559.8</v>
      </c>
    </row>
    <row r="42" spans="2:11" x14ac:dyDescent="0.25">
      <c r="B42" s="31">
        <v>42562</v>
      </c>
      <c r="C42" s="21" t="s">
        <v>651</v>
      </c>
      <c r="D42" s="23"/>
      <c r="E42" s="23"/>
      <c r="F42" s="23"/>
      <c r="G42" s="23"/>
      <c r="H42" s="92">
        <v>400</v>
      </c>
      <c r="I42" s="27"/>
      <c r="J42" s="24">
        <f t="shared" si="2"/>
        <v>52905.46</v>
      </c>
      <c r="K42" s="24">
        <f t="shared" si="3"/>
        <v>52159.8</v>
      </c>
    </row>
    <row r="43" spans="2:11" x14ac:dyDescent="0.25">
      <c r="B43" s="31">
        <v>42562</v>
      </c>
      <c r="C43" s="21" t="s">
        <v>653</v>
      </c>
      <c r="D43" s="23">
        <v>21600</v>
      </c>
      <c r="E43" s="23"/>
      <c r="F43" s="23"/>
      <c r="G43" s="23"/>
      <c r="H43" s="92"/>
      <c r="I43" s="27"/>
      <c r="J43" s="24">
        <f t="shared" si="2"/>
        <v>52905.46</v>
      </c>
      <c r="K43" s="24">
        <f t="shared" si="3"/>
        <v>73759.8</v>
      </c>
    </row>
    <row r="44" spans="2:11" x14ac:dyDescent="0.25">
      <c r="B44" s="31">
        <v>42562</v>
      </c>
      <c r="C44" s="21" t="s">
        <v>653</v>
      </c>
      <c r="D44" s="23">
        <v>1850</v>
      </c>
      <c r="E44" s="23"/>
      <c r="F44" s="23"/>
      <c r="G44" s="23"/>
      <c r="H44" s="92"/>
      <c r="I44" s="27"/>
      <c r="J44" s="24">
        <f t="shared" si="2"/>
        <v>52905.46</v>
      </c>
      <c r="K44" s="24">
        <f t="shared" si="3"/>
        <v>75609.8</v>
      </c>
    </row>
    <row r="45" spans="2:11" x14ac:dyDescent="0.25">
      <c r="B45" s="31">
        <v>42927</v>
      </c>
      <c r="C45" s="21" t="s">
        <v>658</v>
      </c>
      <c r="D45" s="23"/>
      <c r="E45" s="23"/>
      <c r="F45" s="23"/>
      <c r="G45" s="23"/>
      <c r="H45" s="92">
        <v>223.9</v>
      </c>
      <c r="I45" s="27"/>
      <c r="J45" s="24">
        <f t="shared" si="2"/>
        <v>52905.46</v>
      </c>
      <c r="K45" s="24">
        <f t="shared" si="3"/>
        <v>75385.900000000009</v>
      </c>
    </row>
    <row r="46" spans="2:11" ht="15.75" thickBot="1" x14ac:dyDescent="0.3">
      <c r="B46" s="31">
        <v>42563</v>
      </c>
      <c r="C46" s="25" t="s">
        <v>659</v>
      </c>
      <c r="D46" s="73"/>
      <c r="E46" s="73"/>
      <c r="F46" s="73"/>
      <c r="G46" s="73"/>
      <c r="H46" s="23">
        <v>399</v>
      </c>
      <c r="I46" s="27"/>
      <c r="J46" s="24">
        <f t="shared" si="2"/>
        <v>52905.46</v>
      </c>
      <c r="K46" s="24">
        <f t="shared" si="3"/>
        <v>74986.900000000009</v>
      </c>
    </row>
    <row r="47" spans="2:11" ht="15.75" thickBot="1" x14ac:dyDescent="0.3">
      <c r="B47" s="13"/>
      <c r="C47" s="16" t="s">
        <v>0</v>
      </c>
      <c r="D47" s="105">
        <f>SUM(D4:D46)</f>
        <v>58725</v>
      </c>
      <c r="E47" s="103">
        <f>SUM(E4:E46)</f>
        <v>0</v>
      </c>
      <c r="F47" s="114">
        <f>SUM(D47:E47)</f>
        <v>58725</v>
      </c>
      <c r="G47" s="126">
        <f>SUM(G4:G46)</f>
        <v>30</v>
      </c>
      <c r="H47" s="105">
        <f>SUM(H4:H46)</f>
        <v>14798.23</v>
      </c>
      <c r="I47" s="114">
        <f>SUM(G47:H47)</f>
        <v>14828.23</v>
      </c>
      <c r="J47" s="33">
        <v>52905.46</v>
      </c>
      <c r="K47" s="33"/>
    </row>
    <row r="48" spans="2:11" x14ac:dyDescent="0.25">
      <c r="B48" s="111" t="s">
        <v>1</v>
      </c>
      <c r="C48" s="111" t="s">
        <v>2</v>
      </c>
      <c r="D48" s="111" t="s">
        <v>3</v>
      </c>
      <c r="E48" s="111" t="s">
        <v>3</v>
      </c>
      <c r="F48" s="111" t="s">
        <v>323</v>
      </c>
      <c r="G48" s="111" t="s">
        <v>324</v>
      </c>
      <c r="H48" s="81" t="s">
        <v>324</v>
      </c>
      <c r="I48" s="81" t="s">
        <v>323</v>
      </c>
      <c r="J48" s="111" t="s">
        <v>174</v>
      </c>
      <c r="K48" s="81" t="s">
        <v>173</v>
      </c>
    </row>
    <row r="49" spans="2:11" ht="15.75" thickBot="1" x14ac:dyDescent="0.3">
      <c r="B49" s="112"/>
      <c r="C49" s="112"/>
      <c r="D49" s="112" t="s">
        <v>6</v>
      </c>
      <c r="E49" s="112" t="s">
        <v>325</v>
      </c>
      <c r="F49" s="112" t="s">
        <v>3</v>
      </c>
      <c r="G49" s="112" t="s">
        <v>325</v>
      </c>
      <c r="H49" s="113" t="s">
        <v>6</v>
      </c>
      <c r="I49" s="113" t="s">
        <v>5</v>
      </c>
      <c r="J49" s="112"/>
      <c r="K49" s="113"/>
    </row>
    <row r="50" spans="2:11" ht="15.75" thickBot="1" x14ac:dyDescent="0.3">
      <c r="B50" s="13"/>
      <c r="C50" s="16" t="s">
        <v>0</v>
      </c>
      <c r="D50" s="105">
        <v>58725</v>
      </c>
      <c r="E50" s="103">
        <v>0</v>
      </c>
      <c r="F50" s="114">
        <f>SUM(D50:E50)</f>
        <v>58725</v>
      </c>
      <c r="G50" s="126">
        <v>30</v>
      </c>
      <c r="H50" s="105">
        <v>14798.23</v>
      </c>
      <c r="I50" s="114">
        <f>SUM(G50:H50)</f>
        <v>14828.23</v>
      </c>
      <c r="J50" s="33">
        <v>52905.46</v>
      </c>
      <c r="K50" s="24">
        <v>74986.899999999994</v>
      </c>
    </row>
    <row r="51" spans="2:11" x14ac:dyDescent="0.25">
      <c r="B51" s="31">
        <v>42563</v>
      </c>
      <c r="C51" s="25" t="s">
        <v>660</v>
      </c>
      <c r="D51" s="73"/>
      <c r="E51" s="73"/>
      <c r="F51" s="73"/>
      <c r="G51" s="28"/>
      <c r="H51" s="23">
        <v>276.5</v>
      </c>
      <c r="I51" s="27"/>
      <c r="J51" s="24">
        <f>+J50+E51-G51</f>
        <v>52905.46</v>
      </c>
      <c r="K51" s="24">
        <f t="shared" ref="K51" si="4">+K50+D51-H51</f>
        <v>74710.399999999994</v>
      </c>
    </row>
    <row r="52" spans="2:11" x14ac:dyDescent="0.25">
      <c r="B52" s="31">
        <v>42563</v>
      </c>
      <c r="C52" s="25" t="s">
        <v>661</v>
      </c>
      <c r="D52" s="73"/>
      <c r="E52" s="73"/>
      <c r="F52" s="73"/>
      <c r="G52" s="73"/>
      <c r="H52" s="23">
        <v>25</v>
      </c>
      <c r="I52" s="27"/>
      <c r="J52" s="24">
        <f t="shared" ref="J52:J93" si="5">+J51+E52-G52</f>
        <v>52905.46</v>
      </c>
      <c r="K52" s="24">
        <f t="shared" ref="K52:K93" si="6">+K51+D52-H52</f>
        <v>74685.399999999994</v>
      </c>
    </row>
    <row r="53" spans="2:11" x14ac:dyDescent="0.25">
      <c r="B53" s="31">
        <v>42563</v>
      </c>
      <c r="C53" s="25" t="s">
        <v>662</v>
      </c>
      <c r="D53" s="23"/>
      <c r="E53" s="23"/>
      <c r="F53" s="23"/>
      <c r="G53" s="23"/>
      <c r="H53" s="23">
        <v>950</v>
      </c>
      <c r="I53" s="27"/>
      <c r="J53" s="24">
        <f t="shared" si="5"/>
        <v>52905.46</v>
      </c>
      <c r="K53" s="24">
        <f t="shared" si="6"/>
        <v>73735.399999999994</v>
      </c>
    </row>
    <row r="54" spans="2:11" x14ac:dyDescent="0.25">
      <c r="B54" s="31">
        <v>42563</v>
      </c>
      <c r="C54" s="25" t="s">
        <v>663</v>
      </c>
      <c r="D54" s="23"/>
      <c r="E54" s="23"/>
      <c r="F54" s="23"/>
      <c r="G54" s="23"/>
      <c r="H54" s="23">
        <v>1600</v>
      </c>
      <c r="I54" s="27"/>
      <c r="J54" s="24">
        <f t="shared" si="5"/>
        <v>52905.46</v>
      </c>
      <c r="K54" s="24">
        <f t="shared" si="6"/>
        <v>72135.399999999994</v>
      </c>
    </row>
    <row r="55" spans="2:11" x14ac:dyDescent="0.25">
      <c r="B55" s="31">
        <v>42565</v>
      </c>
      <c r="C55" s="25" t="s">
        <v>664</v>
      </c>
      <c r="D55" s="23"/>
      <c r="E55" s="23"/>
      <c r="F55" s="23"/>
      <c r="G55" s="23"/>
      <c r="H55" s="23">
        <v>66.650000000000006</v>
      </c>
      <c r="I55" s="27"/>
      <c r="J55" s="24">
        <f t="shared" si="5"/>
        <v>52905.46</v>
      </c>
      <c r="K55" s="24">
        <f t="shared" si="6"/>
        <v>72068.75</v>
      </c>
    </row>
    <row r="56" spans="2:11" x14ac:dyDescent="0.25">
      <c r="B56" s="31">
        <v>42565</v>
      </c>
      <c r="C56" s="21" t="s">
        <v>665</v>
      </c>
      <c r="D56" s="23"/>
      <c r="E56" s="23"/>
      <c r="F56" s="23"/>
      <c r="G56" s="23"/>
      <c r="H56" s="23">
        <v>1600</v>
      </c>
      <c r="I56" s="27"/>
      <c r="J56" s="24">
        <f t="shared" si="5"/>
        <v>52905.46</v>
      </c>
      <c r="K56" s="24">
        <f t="shared" si="6"/>
        <v>70468.75</v>
      </c>
    </row>
    <row r="57" spans="2:11" x14ac:dyDescent="0.25">
      <c r="B57" s="31">
        <v>42566</v>
      </c>
      <c r="C57" s="21" t="s">
        <v>41</v>
      </c>
      <c r="D57" s="23"/>
      <c r="E57" s="23"/>
      <c r="F57" s="23"/>
      <c r="G57" s="23"/>
      <c r="H57" s="23">
        <v>142</v>
      </c>
      <c r="I57" s="27"/>
      <c r="J57" s="24">
        <f t="shared" si="5"/>
        <v>52905.46</v>
      </c>
      <c r="K57" s="24">
        <f t="shared" si="6"/>
        <v>70326.75</v>
      </c>
    </row>
    <row r="58" spans="2:11" x14ac:dyDescent="0.25">
      <c r="B58" s="31">
        <v>42566</v>
      </c>
      <c r="C58" s="21" t="s">
        <v>652</v>
      </c>
      <c r="D58" s="23"/>
      <c r="E58" s="23"/>
      <c r="F58" s="23"/>
      <c r="G58" s="23"/>
      <c r="H58" s="92">
        <v>450</v>
      </c>
      <c r="I58" s="27"/>
      <c r="J58" s="24">
        <f t="shared" si="5"/>
        <v>52905.46</v>
      </c>
      <c r="K58" s="24">
        <f t="shared" si="6"/>
        <v>69876.75</v>
      </c>
    </row>
    <row r="59" spans="2:11" x14ac:dyDescent="0.25">
      <c r="B59" s="31">
        <v>42566</v>
      </c>
      <c r="C59" s="25" t="s">
        <v>654</v>
      </c>
      <c r="D59" s="73"/>
      <c r="E59" s="73"/>
      <c r="F59" s="73"/>
      <c r="G59" s="73"/>
      <c r="H59" s="23">
        <v>2700</v>
      </c>
      <c r="I59" s="27"/>
      <c r="J59" s="24">
        <f t="shared" si="5"/>
        <v>52905.46</v>
      </c>
      <c r="K59" s="24">
        <f t="shared" si="6"/>
        <v>67176.75</v>
      </c>
    </row>
    <row r="60" spans="2:11" x14ac:dyDescent="0.25">
      <c r="B60" s="31">
        <v>42566</v>
      </c>
      <c r="C60" s="25" t="s">
        <v>655</v>
      </c>
      <c r="D60" s="73"/>
      <c r="E60" s="73"/>
      <c r="F60" s="73"/>
      <c r="G60" s="28"/>
      <c r="H60" s="23">
        <v>29000</v>
      </c>
      <c r="I60" s="27"/>
      <c r="J60" s="24">
        <f t="shared" si="5"/>
        <v>52905.46</v>
      </c>
      <c r="K60" s="24">
        <f t="shared" si="6"/>
        <v>38176.75</v>
      </c>
    </row>
    <row r="61" spans="2:11" x14ac:dyDescent="0.25">
      <c r="B61" s="31">
        <v>42566</v>
      </c>
      <c r="C61" s="25" t="s">
        <v>656</v>
      </c>
      <c r="D61" s="73"/>
      <c r="E61" s="73"/>
      <c r="F61" s="73"/>
      <c r="G61" s="73"/>
      <c r="H61" s="23">
        <v>4000</v>
      </c>
      <c r="I61" s="27"/>
      <c r="J61" s="24">
        <f t="shared" si="5"/>
        <v>52905.46</v>
      </c>
      <c r="K61" s="24">
        <f t="shared" si="6"/>
        <v>34176.75</v>
      </c>
    </row>
    <row r="62" spans="2:11" x14ac:dyDescent="0.25">
      <c r="B62" s="31">
        <v>42566</v>
      </c>
      <c r="C62" s="21" t="s">
        <v>657</v>
      </c>
      <c r="D62" s="23"/>
      <c r="E62" s="23"/>
      <c r="F62" s="23"/>
      <c r="G62" s="23"/>
      <c r="H62" s="92">
        <v>1000</v>
      </c>
      <c r="I62" s="27"/>
      <c r="J62" s="24">
        <f t="shared" si="5"/>
        <v>52905.46</v>
      </c>
      <c r="K62" s="24">
        <f t="shared" si="6"/>
        <v>33176.75</v>
      </c>
    </row>
    <row r="63" spans="2:11" x14ac:dyDescent="0.25">
      <c r="B63" s="31">
        <v>42568</v>
      </c>
      <c r="C63" s="25" t="s">
        <v>666</v>
      </c>
      <c r="D63" s="23"/>
      <c r="E63" s="23"/>
      <c r="F63" s="23"/>
      <c r="G63" s="23"/>
      <c r="H63" s="23">
        <v>97</v>
      </c>
      <c r="I63" s="27"/>
      <c r="J63" s="24">
        <f t="shared" si="5"/>
        <v>52905.46</v>
      </c>
      <c r="K63" s="24">
        <f t="shared" si="6"/>
        <v>33079.75</v>
      </c>
    </row>
    <row r="64" spans="2:11" x14ac:dyDescent="0.25">
      <c r="B64" s="31">
        <v>42568</v>
      </c>
      <c r="C64" s="25" t="s">
        <v>667</v>
      </c>
      <c r="D64" s="23"/>
      <c r="E64" s="23"/>
      <c r="F64" s="23"/>
      <c r="G64" s="23"/>
      <c r="H64" s="23">
        <v>120</v>
      </c>
      <c r="I64" s="27"/>
      <c r="J64" s="24">
        <f t="shared" si="5"/>
        <v>52905.46</v>
      </c>
      <c r="K64" s="24">
        <f t="shared" si="6"/>
        <v>32959.75</v>
      </c>
    </row>
    <row r="65" spans="2:11" x14ac:dyDescent="0.25">
      <c r="B65" s="31">
        <v>42568</v>
      </c>
      <c r="C65" s="25" t="s">
        <v>668</v>
      </c>
      <c r="D65" s="23"/>
      <c r="E65" s="23"/>
      <c r="F65" s="23"/>
      <c r="G65" s="23"/>
      <c r="H65" s="23">
        <v>300</v>
      </c>
      <c r="I65" s="27"/>
      <c r="J65" s="24">
        <f t="shared" si="5"/>
        <v>52905.46</v>
      </c>
      <c r="K65" s="24">
        <f t="shared" si="6"/>
        <v>32659.75</v>
      </c>
    </row>
    <row r="66" spans="2:11" x14ac:dyDescent="0.25">
      <c r="B66" s="31">
        <v>42568</v>
      </c>
      <c r="C66" s="21" t="s">
        <v>669</v>
      </c>
      <c r="D66" s="23"/>
      <c r="E66" s="23"/>
      <c r="F66" s="23"/>
      <c r="G66" s="23"/>
      <c r="H66" s="23">
        <v>135</v>
      </c>
      <c r="I66" s="27"/>
      <c r="J66" s="24">
        <f t="shared" si="5"/>
        <v>52905.46</v>
      </c>
      <c r="K66" s="24">
        <f t="shared" si="6"/>
        <v>32524.75</v>
      </c>
    </row>
    <row r="67" spans="2:11" x14ac:dyDescent="0.25">
      <c r="B67" s="31">
        <v>42568</v>
      </c>
      <c r="C67" s="21" t="s">
        <v>697</v>
      </c>
      <c r="D67" s="23">
        <v>23600</v>
      </c>
      <c r="E67" s="23"/>
      <c r="F67" s="23"/>
      <c r="G67" s="23"/>
      <c r="H67" s="23"/>
      <c r="I67" s="27"/>
      <c r="J67" s="24">
        <f t="shared" si="5"/>
        <v>52905.46</v>
      </c>
      <c r="K67" s="24">
        <f t="shared" si="6"/>
        <v>56124.75</v>
      </c>
    </row>
    <row r="68" spans="2:11" x14ac:dyDescent="0.25">
      <c r="B68" s="31">
        <v>42569</v>
      </c>
      <c r="C68" s="25" t="s">
        <v>638</v>
      </c>
      <c r="D68" s="23"/>
      <c r="E68" s="23"/>
      <c r="F68" s="23"/>
      <c r="G68" s="23"/>
      <c r="H68" s="23">
        <v>400</v>
      </c>
      <c r="I68" s="27"/>
      <c r="J68" s="24">
        <f t="shared" si="5"/>
        <v>52905.46</v>
      </c>
      <c r="K68" s="24">
        <f t="shared" si="6"/>
        <v>55724.75</v>
      </c>
    </row>
    <row r="69" spans="2:11" x14ac:dyDescent="0.25">
      <c r="B69" s="31">
        <v>42569</v>
      </c>
      <c r="C69" s="25" t="s">
        <v>681</v>
      </c>
      <c r="D69" s="23"/>
      <c r="E69" s="23"/>
      <c r="F69" s="23"/>
      <c r="G69" s="23"/>
      <c r="H69" s="23">
        <v>142</v>
      </c>
      <c r="I69" s="27"/>
      <c r="J69" s="24">
        <f t="shared" si="5"/>
        <v>52905.46</v>
      </c>
      <c r="K69" s="24">
        <f t="shared" si="6"/>
        <v>55582.75</v>
      </c>
    </row>
    <row r="70" spans="2:11" x14ac:dyDescent="0.25">
      <c r="B70" s="31">
        <v>42571</v>
      </c>
      <c r="C70" s="21" t="s">
        <v>682</v>
      </c>
      <c r="D70" s="23"/>
      <c r="E70" s="23"/>
      <c r="F70" s="23"/>
      <c r="G70" s="23"/>
      <c r="H70" s="23">
        <v>3290</v>
      </c>
      <c r="I70" s="27"/>
      <c r="J70" s="24">
        <f t="shared" si="5"/>
        <v>52905.46</v>
      </c>
      <c r="K70" s="24">
        <f t="shared" si="6"/>
        <v>52292.75</v>
      </c>
    </row>
    <row r="71" spans="2:11" x14ac:dyDescent="0.25">
      <c r="B71" s="31">
        <v>42571</v>
      </c>
      <c r="C71" s="21" t="s">
        <v>683</v>
      </c>
      <c r="D71" s="23"/>
      <c r="E71" s="23"/>
      <c r="F71" s="23"/>
      <c r="G71" s="23"/>
      <c r="H71" s="23">
        <v>100</v>
      </c>
      <c r="I71" s="27"/>
      <c r="J71" s="24">
        <f t="shared" si="5"/>
        <v>52905.46</v>
      </c>
      <c r="K71" s="24">
        <f t="shared" si="6"/>
        <v>52192.75</v>
      </c>
    </row>
    <row r="72" spans="2:11" x14ac:dyDescent="0.25">
      <c r="B72" s="31">
        <v>42571</v>
      </c>
      <c r="C72" s="25" t="s">
        <v>17</v>
      </c>
      <c r="D72" s="23"/>
      <c r="E72" s="23"/>
      <c r="F72" s="23"/>
      <c r="G72" s="23"/>
      <c r="H72" s="23">
        <v>110</v>
      </c>
      <c r="I72" s="27"/>
      <c r="J72" s="24">
        <f t="shared" si="5"/>
        <v>52905.46</v>
      </c>
      <c r="K72" s="24">
        <f t="shared" si="6"/>
        <v>52082.75</v>
      </c>
    </row>
    <row r="73" spans="2:11" x14ac:dyDescent="0.25">
      <c r="B73" s="31">
        <v>42571</v>
      </c>
      <c r="C73" s="62" t="s">
        <v>684</v>
      </c>
      <c r="D73" s="23"/>
      <c r="E73" s="23"/>
      <c r="F73" s="23"/>
      <c r="G73" s="23"/>
      <c r="H73" s="23">
        <v>630</v>
      </c>
      <c r="I73" s="27"/>
      <c r="J73" s="24">
        <f t="shared" si="5"/>
        <v>52905.46</v>
      </c>
      <c r="K73" s="24">
        <f t="shared" si="6"/>
        <v>51452.75</v>
      </c>
    </row>
    <row r="74" spans="2:11" x14ac:dyDescent="0.25">
      <c r="B74" s="31">
        <v>42571</v>
      </c>
      <c r="C74" s="60" t="s">
        <v>685</v>
      </c>
      <c r="D74" s="23"/>
      <c r="E74" s="23"/>
      <c r="F74" s="23"/>
      <c r="G74" s="23"/>
      <c r="H74" s="23">
        <v>200</v>
      </c>
      <c r="I74" s="27"/>
      <c r="J74" s="24">
        <f t="shared" si="5"/>
        <v>52905.46</v>
      </c>
      <c r="K74" s="24">
        <f t="shared" si="6"/>
        <v>51252.75</v>
      </c>
    </row>
    <row r="75" spans="2:11" x14ac:dyDescent="0.25">
      <c r="B75" s="31">
        <v>42572</v>
      </c>
      <c r="C75" s="21" t="s">
        <v>686</v>
      </c>
      <c r="D75" s="23"/>
      <c r="E75" s="23"/>
      <c r="F75" s="23"/>
      <c r="G75" s="23"/>
      <c r="H75" s="23">
        <v>200</v>
      </c>
      <c r="I75" s="27"/>
      <c r="J75" s="24">
        <f t="shared" si="5"/>
        <v>52905.46</v>
      </c>
      <c r="K75" s="24">
        <f t="shared" si="6"/>
        <v>51052.75</v>
      </c>
    </row>
    <row r="76" spans="2:11" x14ac:dyDescent="0.25">
      <c r="B76" s="31">
        <v>42572</v>
      </c>
      <c r="C76" s="21" t="s">
        <v>687</v>
      </c>
      <c r="D76" s="23"/>
      <c r="E76" s="23"/>
      <c r="F76" s="23"/>
      <c r="G76" s="23"/>
      <c r="H76" s="23">
        <v>620</v>
      </c>
      <c r="I76" s="27"/>
      <c r="J76" s="24">
        <f t="shared" si="5"/>
        <v>52905.46</v>
      </c>
      <c r="K76" s="24">
        <f t="shared" si="6"/>
        <v>50432.75</v>
      </c>
    </row>
    <row r="77" spans="2:11" x14ac:dyDescent="0.25">
      <c r="B77" s="31">
        <v>42572</v>
      </c>
      <c r="C77" s="21" t="s">
        <v>688</v>
      </c>
      <c r="D77" s="23"/>
      <c r="E77" s="23"/>
      <c r="F77" s="23"/>
      <c r="G77" s="23">
        <v>3600</v>
      </c>
      <c r="H77" s="23"/>
      <c r="I77" s="27"/>
      <c r="J77" s="24">
        <f t="shared" si="5"/>
        <v>49305.46</v>
      </c>
      <c r="K77" s="24">
        <f t="shared" si="6"/>
        <v>50432.75</v>
      </c>
    </row>
    <row r="78" spans="2:11" x14ac:dyDescent="0.25">
      <c r="B78" s="31">
        <v>42572</v>
      </c>
      <c r="C78" s="62" t="s">
        <v>689</v>
      </c>
      <c r="D78" s="23"/>
      <c r="E78" s="23"/>
      <c r="F78" s="23"/>
      <c r="G78" s="23">
        <v>1760</v>
      </c>
      <c r="H78" s="23"/>
      <c r="I78" s="27"/>
      <c r="J78" s="24">
        <f t="shared" si="5"/>
        <v>47545.46</v>
      </c>
      <c r="K78" s="24">
        <f t="shared" si="6"/>
        <v>50432.75</v>
      </c>
    </row>
    <row r="79" spans="2:11" x14ac:dyDescent="0.25">
      <c r="B79" s="31">
        <v>42572</v>
      </c>
      <c r="C79" s="60" t="s">
        <v>690</v>
      </c>
      <c r="D79" s="23"/>
      <c r="E79" s="23"/>
      <c r="F79" s="23"/>
      <c r="G79" s="23">
        <v>1224</v>
      </c>
      <c r="H79" s="23"/>
      <c r="I79" s="27"/>
      <c r="J79" s="24">
        <f t="shared" si="5"/>
        <v>46321.46</v>
      </c>
      <c r="K79" s="24">
        <f t="shared" si="6"/>
        <v>50432.75</v>
      </c>
    </row>
    <row r="80" spans="2:11" x14ac:dyDescent="0.25">
      <c r="B80" s="31">
        <v>42572</v>
      </c>
      <c r="C80" s="62" t="s">
        <v>691</v>
      </c>
      <c r="D80" s="23"/>
      <c r="E80" s="23"/>
      <c r="F80" s="23"/>
      <c r="G80" s="23"/>
      <c r="H80" s="23">
        <v>335</v>
      </c>
      <c r="I80" s="27"/>
      <c r="J80" s="24">
        <f t="shared" si="5"/>
        <v>46321.46</v>
      </c>
      <c r="K80" s="24">
        <f t="shared" si="6"/>
        <v>50097.75</v>
      </c>
    </row>
    <row r="81" spans="2:11" x14ac:dyDescent="0.25">
      <c r="B81" s="31">
        <v>42572</v>
      </c>
      <c r="C81" s="60" t="s">
        <v>692</v>
      </c>
      <c r="D81" s="23"/>
      <c r="E81" s="23"/>
      <c r="F81" s="23"/>
      <c r="G81" s="23"/>
      <c r="H81" s="23">
        <v>350</v>
      </c>
      <c r="I81" s="27"/>
      <c r="J81" s="24">
        <f t="shared" si="5"/>
        <v>46321.46</v>
      </c>
      <c r="K81" s="24">
        <f t="shared" si="6"/>
        <v>49747.75</v>
      </c>
    </row>
    <row r="82" spans="2:11" x14ac:dyDescent="0.25">
      <c r="B82" s="31">
        <v>42572</v>
      </c>
      <c r="C82" s="21" t="s">
        <v>693</v>
      </c>
      <c r="D82" s="23"/>
      <c r="E82" s="23"/>
      <c r="F82" s="23"/>
      <c r="G82" s="23"/>
      <c r="H82" s="23">
        <v>300</v>
      </c>
      <c r="I82" s="27"/>
      <c r="J82" s="24">
        <f t="shared" si="5"/>
        <v>46321.46</v>
      </c>
      <c r="K82" s="24">
        <f t="shared" si="6"/>
        <v>49447.75</v>
      </c>
    </row>
    <row r="83" spans="2:11" x14ac:dyDescent="0.25">
      <c r="B83" s="31">
        <v>42572</v>
      </c>
      <c r="C83" s="21" t="s">
        <v>694</v>
      </c>
      <c r="D83" s="23"/>
      <c r="E83" s="23"/>
      <c r="F83" s="23"/>
      <c r="G83" s="23"/>
      <c r="H83" s="23">
        <v>1050</v>
      </c>
      <c r="I83" s="27"/>
      <c r="J83" s="24">
        <f t="shared" si="5"/>
        <v>46321.46</v>
      </c>
      <c r="K83" s="24">
        <f t="shared" si="6"/>
        <v>48397.75</v>
      </c>
    </row>
    <row r="84" spans="2:11" x14ac:dyDescent="0.25">
      <c r="B84" s="31">
        <v>42573</v>
      </c>
      <c r="C84" s="21" t="s">
        <v>695</v>
      </c>
      <c r="D84" s="23"/>
      <c r="E84" s="23"/>
      <c r="F84" s="23"/>
      <c r="G84" s="23"/>
      <c r="H84" s="23">
        <v>5</v>
      </c>
      <c r="I84" s="27"/>
      <c r="J84" s="24">
        <f t="shared" si="5"/>
        <v>46321.46</v>
      </c>
      <c r="K84" s="24">
        <f t="shared" si="6"/>
        <v>48392.75</v>
      </c>
    </row>
    <row r="85" spans="2:11" x14ac:dyDescent="0.25">
      <c r="B85" s="31">
        <v>42573</v>
      </c>
      <c r="C85" s="21" t="s">
        <v>696</v>
      </c>
      <c r="D85" s="23"/>
      <c r="E85" s="23"/>
      <c r="F85" s="23"/>
      <c r="G85" s="23"/>
      <c r="H85" s="23">
        <v>190</v>
      </c>
      <c r="I85" s="27"/>
      <c r="J85" s="24">
        <f t="shared" si="5"/>
        <v>46321.46</v>
      </c>
      <c r="K85" s="24">
        <f t="shared" si="6"/>
        <v>48202.75</v>
      </c>
    </row>
    <row r="86" spans="2:11" x14ac:dyDescent="0.25">
      <c r="B86" s="31">
        <v>42573</v>
      </c>
      <c r="C86" s="21" t="s">
        <v>531</v>
      </c>
      <c r="D86" s="23"/>
      <c r="E86" s="23"/>
      <c r="F86" s="23"/>
      <c r="G86" s="23"/>
      <c r="H86" s="23">
        <v>78</v>
      </c>
      <c r="I86" s="27"/>
      <c r="J86" s="24">
        <f t="shared" si="5"/>
        <v>46321.46</v>
      </c>
      <c r="K86" s="24">
        <f t="shared" si="6"/>
        <v>48124.75</v>
      </c>
    </row>
    <row r="87" spans="2:11" x14ac:dyDescent="0.25">
      <c r="B87" s="31">
        <v>42573</v>
      </c>
      <c r="C87" s="25" t="s">
        <v>698</v>
      </c>
      <c r="D87" s="73"/>
      <c r="E87" s="73"/>
      <c r="F87" s="73"/>
      <c r="G87" s="73"/>
      <c r="H87" s="23">
        <v>130</v>
      </c>
      <c r="I87" s="27"/>
      <c r="J87" s="24">
        <f t="shared" si="5"/>
        <v>46321.46</v>
      </c>
      <c r="K87" s="24">
        <f t="shared" si="6"/>
        <v>47994.75</v>
      </c>
    </row>
    <row r="88" spans="2:11" x14ac:dyDescent="0.25">
      <c r="B88" s="31">
        <v>42573</v>
      </c>
      <c r="C88" s="25" t="s">
        <v>699</v>
      </c>
      <c r="D88" s="73"/>
      <c r="E88" s="73"/>
      <c r="F88" s="73"/>
      <c r="G88" s="28"/>
      <c r="H88" s="23">
        <v>130</v>
      </c>
      <c r="I88" s="27"/>
      <c r="J88" s="24">
        <f t="shared" si="5"/>
        <v>46321.46</v>
      </c>
      <c r="K88" s="24">
        <f t="shared" si="6"/>
        <v>47864.75</v>
      </c>
    </row>
    <row r="89" spans="2:11" x14ac:dyDescent="0.25">
      <c r="B89" s="31">
        <v>42573</v>
      </c>
      <c r="C89" s="25" t="s">
        <v>700</v>
      </c>
      <c r="D89" s="73"/>
      <c r="E89" s="73"/>
      <c r="F89" s="73"/>
      <c r="G89" s="73"/>
      <c r="H89" s="23">
        <v>420</v>
      </c>
      <c r="I89" s="27"/>
      <c r="J89" s="24">
        <f t="shared" si="5"/>
        <v>46321.46</v>
      </c>
      <c r="K89" s="24">
        <f t="shared" si="6"/>
        <v>47444.75</v>
      </c>
    </row>
    <row r="90" spans="2:11" x14ac:dyDescent="0.25">
      <c r="B90" s="31">
        <v>42573</v>
      </c>
      <c r="C90" s="21" t="s">
        <v>701</v>
      </c>
      <c r="D90" s="23"/>
      <c r="E90" s="23"/>
      <c r="F90" s="23"/>
      <c r="G90" s="23"/>
      <c r="H90" s="23">
        <v>1000</v>
      </c>
      <c r="I90" s="27"/>
      <c r="J90" s="24">
        <f t="shared" si="5"/>
        <v>46321.46</v>
      </c>
      <c r="K90" s="24">
        <f t="shared" si="6"/>
        <v>46444.75</v>
      </c>
    </row>
    <row r="91" spans="2:11" x14ac:dyDescent="0.25">
      <c r="B91" s="31">
        <v>42573</v>
      </c>
      <c r="C91" s="21" t="s">
        <v>702</v>
      </c>
      <c r="D91" s="23"/>
      <c r="E91" s="23"/>
      <c r="F91" s="23"/>
      <c r="G91" s="23"/>
      <c r="H91" s="23">
        <v>135</v>
      </c>
      <c r="I91" s="27"/>
      <c r="J91" s="24">
        <f t="shared" si="5"/>
        <v>46321.46</v>
      </c>
      <c r="K91" s="24">
        <f t="shared" si="6"/>
        <v>46309.75</v>
      </c>
    </row>
    <row r="92" spans="2:11" x14ac:dyDescent="0.25">
      <c r="B92" s="31">
        <v>42573</v>
      </c>
      <c r="C92" s="21" t="s">
        <v>703</v>
      </c>
      <c r="D92" s="23"/>
      <c r="E92" s="23"/>
      <c r="F92" s="23"/>
      <c r="G92" s="23"/>
      <c r="H92" s="23">
        <v>1200</v>
      </c>
      <c r="I92" s="27"/>
      <c r="J92" s="24">
        <f t="shared" si="5"/>
        <v>46321.46</v>
      </c>
      <c r="K92" s="24">
        <f t="shared" si="6"/>
        <v>45109.75</v>
      </c>
    </row>
    <row r="93" spans="2:11" ht="15.75" thickBot="1" x14ac:dyDescent="0.3">
      <c r="B93" s="31">
        <v>42573</v>
      </c>
      <c r="C93" s="21" t="s">
        <v>704</v>
      </c>
      <c r="D93" s="23"/>
      <c r="E93" s="23"/>
      <c r="F93" s="23"/>
      <c r="G93" s="23"/>
      <c r="H93" s="23">
        <v>300</v>
      </c>
      <c r="I93" s="27"/>
      <c r="J93" s="24">
        <f t="shared" si="5"/>
        <v>46321.46</v>
      </c>
      <c r="K93" s="24">
        <f t="shared" si="6"/>
        <v>44809.75</v>
      </c>
    </row>
    <row r="94" spans="2:11" ht="15.75" thickBot="1" x14ac:dyDescent="0.3">
      <c r="B94" s="13"/>
      <c r="C94" s="16" t="s">
        <v>0</v>
      </c>
      <c r="D94" s="105">
        <f>SUM(D48:D93)</f>
        <v>82325</v>
      </c>
      <c r="E94" s="103">
        <f>SUM(E48:E93)</f>
        <v>0</v>
      </c>
      <c r="F94" s="114">
        <f>SUM(D94:E94)</f>
        <v>82325</v>
      </c>
      <c r="G94" s="126">
        <f>SUM(G50:G93)</f>
        <v>6614</v>
      </c>
      <c r="H94" s="105">
        <f>SUM(H50:H93)</f>
        <v>68575.38</v>
      </c>
      <c r="I94" s="114">
        <f>SUM(G94:H94)</f>
        <v>75189.38</v>
      </c>
      <c r="J94" s="33">
        <v>46316.66</v>
      </c>
      <c r="K94" s="33"/>
    </row>
    <row r="95" spans="2:11" x14ac:dyDescent="0.25">
      <c r="B95" s="111" t="s">
        <v>1</v>
      </c>
      <c r="C95" s="111" t="s">
        <v>2</v>
      </c>
      <c r="D95" s="111" t="s">
        <v>3</v>
      </c>
      <c r="E95" s="111" t="s">
        <v>3</v>
      </c>
      <c r="F95" s="111" t="s">
        <v>323</v>
      </c>
      <c r="G95" s="111" t="s">
        <v>324</v>
      </c>
      <c r="H95" s="81" t="s">
        <v>324</v>
      </c>
      <c r="I95" s="81" t="s">
        <v>323</v>
      </c>
      <c r="J95" s="111" t="s">
        <v>174</v>
      </c>
      <c r="K95" s="81" t="s">
        <v>173</v>
      </c>
    </row>
    <row r="96" spans="2:11" ht="15.75" thickBot="1" x14ac:dyDescent="0.3">
      <c r="B96" s="112"/>
      <c r="C96" s="112"/>
      <c r="D96" s="112" t="s">
        <v>6</v>
      </c>
      <c r="E96" s="112" t="s">
        <v>325</v>
      </c>
      <c r="F96" s="112" t="s">
        <v>3</v>
      </c>
      <c r="G96" s="112" t="s">
        <v>325</v>
      </c>
      <c r="H96" s="113" t="s">
        <v>6</v>
      </c>
      <c r="I96" s="113" t="s">
        <v>5</v>
      </c>
      <c r="J96" s="112"/>
      <c r="K96" s="113"/>
    </row>
    <row r="97" spans="2:11" ht="15.75" thickBot="1" x14ac:dyDescent="0.3">
      <c r="B97" s="13"/>
      <c r="C97" s="16" t="s">
        <v>0</v>
      </c>
      <c r="D97" s="105">
        <v>82325</v>
      </c>
      <c r="E97" s="103">
        <v>0</v>
      </c>
      <c r="F97" s="114">
        <v>82325</v>
      </c>
      <c r="G97" s="126">
        <v>6614</v>
      </c>
      <c r="H97" s="105">
        <v>68575.38</v>
      </c>
      <c r="I97" s="114">
        <f>SUM(G97:H97)</f>
        <v>75189.38</v>
      </c>
      <c r="J97" s="32">
        <v>46316.66</v>
      </c>
      <c r="K97" s="32">
        <v>44809.75</v>
      </c>
    </row>
    <row r="98" spans="2:11" x14ac:dyDescent="0.25">
      <c r="B98" s="31">
        <v>42574</v>
      </c>
      <c r="C98" s="21" t="s">
        <v>705</v>
      </c>
      <c r="D98" s="23"/>
      <c r="E98" s="23"/>
      <c r="F98" s="23"/>
      <c r="G98" s="23"/>
      <c r="H98" s="23">
        <v>140</v>
      </c>
      <c r="I98" s="27"/>
      <c r="J98" s="24">
        <f t="shared" ref="J98:J99" si="7">+J97+E98-G98</f>
        <v>46316.66</v>
      </c>
      <c r="K98" s="24">
        <f t="shared" ref="K98:K99" si="8">+K97+D98-H98</f>
        <v>44669.75</v>
      </c>
    </row>
    <row r="99" spans="2:11" x14ac:dyDescent="0.25">
      <c r="B99" s="31">
        <v>42574</v>
      </c>
      <c r="C99" s="21" t="s">
        <v>706</v>
      </c>
      <c r="D99" s="23"/>
      <c r="E99" s="23"/>
      <c r="F99" s="23"/>
      <c r="G99" s="23"/>
      <c r="H99" s="23">
        <v>500</v>
      </c>
      <c r="I99" s="27"/>
      <c r="J99" s="24">
        <f t="shared" si="7"/>
        <v>46316.66</v>
      </c>
      <c r="K99" s="24">
        <f t="shared" si="8"/>
        <v>44169.75</v>
      </c>
    </row>
    <row r="100" spans="2:11" x14ac:dyDescent="0.25">
      <c r="B100" s="31">
        <v>42575</v>
      </c>
      <c r="C100" s="21" t="s">
        <v>723</v>
      </c>
      <c r="D100" s="23"/>
      <c r="E100" s="23"/>
      <c r="F100" s="23"/>
      <c r="G100" s="23"/>
      <c r="H100" s="23">
        <v>120</v>
      </c>
      <c r="I100" s="27"/>
      <c r="J100" s="24">
        <f t="shared" ref="J100:J135" si="9">+J99+E100-G100</f>
        <v>46316.66</v>
      </c>
      <c r="K100" s="24">
        <f t="shared" ref="K100:K135" si="10">+K99+D100-H100</f>
        <v>44049.75</v>
      </c>
    </row>
    <row r="101" spans="2:11" x14ac:dyDescent="0.25">
      <c r="B101" s="31">
        <v>42575</v>
      </c>
      <c r="C101" s="21" t="s">
        <v>666</v>
      </c>
      <c r="D101" s="23"/>
      <c r="E101" s="23"/>
      <c r="F101" s="23"/>
      <c r="G101" s="23"/>
      <c r="H101" s="23">
        <v>49</v>
      </c>
      <c r="I101" s="27"/>
      <c r="J101" s="24">
        <f t="shared" si="9"/>
        <v>46316.66</v>
      </c>
      <c r="K101" s="24">
        <f t="shared" si="10"/>
        <v>44000.75</v>
      </c>
    </row>
    <row r="102" spans="2:11" x14ac:dyDescent="0.25">
      <c r="B102" s="31">
        <v>42575</v>
      </c>
      <c r="C102" s="21" t="s">
        <v>707</v>
      </c>
      <c r="D102" s="23"/>
      <c r="E102" s="23"/>
      <c r="F102" s="23"/>
      <c r="G102" s="23"/>
      <c r="H102" s="23">
        <v>108</v>
      </c>
      <c r="I102" s="27"/>
      <c r="J102" s="24">
        <f t="shared" si="9"/>
        <v>46316.66</v>
      </c>
      <c r="K102" s="24">
        <f t="shared" si="10"/>
        <v>43892.75</v>
      </c>
    </row>
    <row r="103" spans="2:11" x14ac:dyDescent="0.25">
      <c r="B103" s="31">
        <v>42575</v>
      </c>
      <c r="C103" s="21" t="s">
        <v>708</v>
      </c>
      <c r="D103" s="23"/>
      <c r="E103" s="23"/>
      <c r="F103" s="23"/>
      <c r="G103" s="23"/>
      <c r="H103" s="23">
        <v>24</v>
      </c>
      <c r="I103" s="27"/>
      <c r="J103" s="24">
        <f t="shared" si="9"/>
        <v>46316.66</v>
      </c>
      <c r="K103" s="24">
        <f t="shared" si="10"/>
        <v>43868.75</v>
      </c>
    </row>
    <row r="104" spans="2:11" x14ac:dyDescent="0.25">
      <c r="B104" s="31">
        <v>42575</v>
      </c>
      <c r="C104" s="21" t="s">
        <v>709</v>
      </c>
      <c r="D104" s="23"/>
      <c r="E104" s="23"/>
      <c r="F104" s="23"/>
      <c r="G104" s="23"/>
      <c r="H104" s="23">
        <v>280</v>
      </c>
      <c r="I104" s="27"/>
      <c r="J104" s="24">
        <f t="shared" si="9"/>
        <v>46316.66</v>
      </c>
      <c r="K104" s="24">
        <f t="shared" si="10"/>
        <v>43588.75</v>
      </c>
    </row>
    <row r="105" spans="2:11" x14ac:dyDescent="0.25">
      <c r="B105" s="31">
        <v>42576</v>
      </c>
      <c r="C105" s="21" t="s">
        <v>710</v>
      </c>
      <c r="D105" s="23"/>
      <c r="E105" s="23"/>
      <c r="F105" s="23"/>
      <c r="G105" s="23"/>
      <c r="H105" s="23">
        <v>100</v>
      </c>
      <c r="I105" s="27"/>
      <c r="J105" s="24">
        <f t="shared" si="9"/>
        <v>46316.66</v>
      </c>
      <c r="K105" s="24">
        <f t="shared" si="10"/>
        <v>43488.75</v>
      </c>
    </row>
    <row r="106" spans="2:11" x14ac:dyDescent="0.25">
      <c r="B106" s="31">
        <v>42576</v>
      </c>
      <c r="C106" s="21" t="s">
        <v>711</v>
      </c>
      <c r="D106" s="23"/>
      <c r="E106" s="23"/>
      <c r="F106" s="23"/>
      <c r="G106" s="23"/>
      <c r="H106" s="23">
        <v>150</v>
      </c>
      <c r="I106" s="27"/>
      <c r="J106" s="24">
        <f t="shared" si="9"/>
        <v>46316.66</v>
      </c>
      <c r="K106" s="24">
        <f t="shared" si="10"/>
        <v>43338.75</v>
      </c>
    </row>
    <row r="107" spans="2:11" x14ac:dyDescent="0.25">
      <c r="B107" s="31">
        <v>42576</v>
      </c>
      <c r="C107" s="21" t="s">
        <v>712</v>
      </c>
      <c r="D107" s="23"/>
      <c r="E107" s="23"/>
      <c r="F107" s="23"/>
      <c r="G107" s="23"/>
      <c r="H107" s="23">
        <v>400</v>
      </c>
      <c r="I107" s="27"/>
      <c r="J107" s="24">
        <f t="shared" si="9"/>
        <v>46316.66</v>
      </c>
      <c r="K107" s="24">
        <f t="shared" si="10"/>
        <v>42938.75</v>
      </c>
    </row>
    <row r="108" spans="2:11" x14ac:dyDescent="0.25">
      <c r="B108" s="31">
        <v>42576</v>
      </c>
      <c r="C108" s="21" t="s">
        <v>17</v>
      </c>
      <c r="D108" s="23"/>
      <c r="E108" s="23"/>
      <c r="F108" s="23"/>
      <c r="G108" s="23"/>
      <c r="H108" s="23">
        <v>110</v>
      </c>
      <c r="I108" s="27"/>
      <c r="J108" s="24">
        <f t="shared" si="9"/>
        <v>46316.66</v>
      </c>
      <c r="K108" s="24">
        <f t="shared" si="10"/>
        <v>42828.75</v>
      </c>
    </row>
    <row r="109" spans="2:11" x14ac:dyDescent="0.25">
      <c r="B109" s="31">
        <v>42576</v>
      </c>
      <c r="C109" s="21" t="s">
        <v>714</v>
      </c>
      <c r="D109" s="23">
        <v>26550</v>
      </c>
      <c r="E109" s="23"/>
      <c r="F109" s="23"/>
      <c r="G109" s="23"/>
      <c r="H109" s="23"/>
      <c r="I109" s="27"/>
      <c r="J109" s="24">
        <f t="shared" si="9"/>
        <v>46316.66</v>
      </c>
      <c r="K109" s="24">
        <f t="shared" si="10"/>
        <v>69378.75</v>
      </c>
    </row>
    <row r="110" spans="2:11" x14ac:dyDescent="0.25">
      <c r="B110" s="31">
        <v>42577</v>
      </c>
      <c r="C110" s="21" t="s">
        <v>713</v>
      </c>
      <c r="D110" s="23"/>
      <c r="E110" s="23"/>
      <c r="F110" s="23"/>
      <c r="G110" s="23"/>
      <c r="H110" s="23">
        <v>300</v>
      </c>
      <c r="I110" s="27"/>
      <c r="J110" s="24">
        <f t="shared" si="9"/>
        <v>46316.66</v>
      </c>
      <c r="K110" s="24">
        <f t="shared" si="10"/>
        <v>69078.75</v>
      </c>
    </row>
    <row r="111" spans="2:11" x14ac:dyDescent="0.25">
      <c r="B111" s="31">
        <v>42577</v>
      </c>
      <c r="C111" s="21" t="s">
        <v>715</v>
      </c>
      <c r="D111" s="23"/>
      <c r="E111" s="23"/>
      <c r="F111" s="23"/>
      <c r="G111" s="23"/>
      <c r="H111" s="23">
        <v>1200</v>
      </c>
      <c r="I111" s="27"/>
      <c r="J111" s="24">
        <f t="shared" si="9"/>
        <v>46316.66</v>
      </c>
      <c r="K111" s="24">
        <f t="shared" si="10"/>
        <v>67878.75</v>
      </c>
    </row>
    <row r="112" spans="2:11" x14ac:dyDescent="0.25">
      <c r="B112" s="31">
        <v>42577</v>
      </c>
      <c r="C112" s="21" t="s">
        <v>716</v>
      </c>
      <c r="D112" s="23"/>
      <c r="E112" s="23"/>
      <c r="F112" s="23"/>
      <c r="G112" s="23"/>
      <c r="H112" s="23">
        <v>2425</v>
      </c>
      <c r="I112" s="27"/>
      <c r="J112" s="24">
        <f t="shared" si="9"/>
        <v>46316.66</v>
      </c>
      <c r="K112" s="24">
        <f t="shared" si="10"/>
        <v>65453.75</v>
      </c>
    </row>
    <row r="113" spans="2:11" x14ac:dyDescent="0.25">
      <c r="B113" s="31">
        <v>42577</v>
      </c>
      <c r="C113" s="21" t="s">
        <v>717</v>
      </c>
      <c r="D113" s="23"/>
      <c r="E113" s="23"/>
      <c r="F113" s="23"/>
      <c r="G113" s="23"/>
      <c r="H113" s="23">
        <v>400</v>
      </c>
      <c r="I113" s="27"/>
      <c r="J113" s="24">
        <f t="shared" si="9"/>
        <v>46316.66</v>
      </c>
      <c r="K113" s="24">
        <f t="shared" si="10"/>
        <v>65053.75</v>
      </c>
    </row>
    <row r="114" spans="2:11" x14ac:dyDescent="0.25">
      <c r="B114" s="31">
        <v>42577</v>
      </c>
      <c r="C114" s="21" t="s">
        <v>718</v>
      </c>
      <c r="D114" s="23"/>
      <c r="E114" s="23"/>
      <c r="F114" s="23"/>
      <c r="G114" s="23"/>
      <c r="H114" s="23">
        <v>540</v>
      </c>
      <c r="I114" s="27"/>
      <c r="J114" s="24">
        <f t="shared" si="9"/>
        <v>46316.66</v>
      </c>
      <c r="K114" s="24">
        <f t="shared" si="10"/>
        <v>64513.75</v>
      </c>
    </row>
    <row r="115" spans="2:11" x14ac:dyDescent="0.25">
      <c r="B115" s="31">
        <v>42577</v>
      </c>
      <c r="C115" s="21" t="s">
        <v>719</v>
      </c>
      <c r="D115" s="23"/>
      <c r="E115" s="23"/>
      <c r="F115" s="23"/>
      <c r="G115" s="23"/>
      <c r="H115" s="23">
        <v>200</v>
      </c>
      <c r="I115" s="27"/>
      <c r="J115" s="24">
        <f t="shared" si="9"/>
        <v>46316.66</v>
      </c>
      <c r="K115" s="24">
        <f t="shared" si="10"/>
        <v>64313.75</v>
      </c>
    </row>
    <row r="116" spans="2:11" x14ac:dyDescent="0.25">
      <c r="B116" s="31">
        <v>42578</v>
      </c>
      <c r="C116" s="21" t="s">
        <v>725</v>
      </c>
      <c r="D116" s="23"/>
      <c r="E116" s="23"/>
      <c r="F116" s="23"/>
      <c r="G116" s="23"/>
      <c r="H116" s="23">
        <v>1000</v>
      </c>
      <c r="I116" s="27"/>
      <c r="J116" s="24">
        <f t="shared" si="9"/>
        <v>46316.66</v>
      </c>
      <c r="K116" s="24">
        <f t="shared" si="10"/>
        <v>63313.75</v>
      </c>
    </row>
    <row r="117" spans="2:11" x14ac:dyDescent="0.25">
      <c r="B117" s="31">
        <v>42578</v>
      </c>
      <c r="C117" s="21" t="s">
        <v>726</v>
      </c>
      <c r="D117" s="23"/>
      <c r="E117" s="23"/>
      <c r="F117" s="23"/>
      <c r="G117" s="23"/>
      <c r="H117" s="23">
        <v>130</v>
      </c>
      <c r="I117" s="27"/>
      <c r="J117" s="24">
        <f t="shared" si="9"/>
        <v>46316.66</v>
      </c>
      <c r="K117" s="24">
        <f t="shared" si="10"/>
        <v>63183.75</v>
      </c>
    </row>
    <row r="118" spans="2:11" x14ac:dyDescent="0.25">
      <c r="B118" s="31">
        <v>42578</v>
      </c>
      <c r="C118" s="21" t="s">
        <v>727</v>
      </c>
      <c r="D118" s="23"/>
      <c r="E118" s="23"/>
      <c r="F118" s="23"/>
      <c r="G118" s="23"/>
      <c r="H118" s="23">
        <v>188</v>
      </c>
      <c r="I118" s="27"/>
      <c r="J118" s="24">
        <f t="shared" si="9"/>
        <v>46316.66</v>
      </c>
      <c r="K118" s="24">
        <f t="shared" si="10"/>
        <v>62995.75</v>
      </c>
    </row>
    <row r="119" spans="2:11" x14ac:dyDescent="0.25">
      <c r="B119" s="31">
        <v>42578</v>
      </c>
      <c r="C119" s="21" t="s">
        <v>728</v>
      </c>
      <c r="D119" s="23"/>
      <c r="E119" s="23"/>
      <c r="F119" s="23"/>
      <c r="G119" s="23"/>
      <c r="H119" s="23">
        <v>160</v>
      </c>
      <c r="I119" s="27"/>
      <c r="J119" s="24">
        <f t="shared" si="9"/>
        <v>46316.66</v>
      </c>
      <c r="K119" s="24">
        <f t="shared" si="10"/>
        <v>62835.75</v>
      </c>
    </row>
    <row r="120" spans="2:11" x14ac:dyDescent="0.25">
      <c r="B120" s="31">
        <v>42578</v>
      </c>
      <c r="C120" s="21" t="s">
        <v>729</v>
      </c>
      <c r="D120" s="23"/>
      <c r="E120" s="23"/>
      <c r="F120" s="23"/>
      <c r="G120" s="23"/>
      <c r="H120" s="23">
        <v>2000</v>
      </c>
      <c r="I120" s="27"/>
      <c r="J120" s="24">
        <f t="shared" si="9"/>
        <v>46316.66</v>
      </c>
      <c r="K120" s="24">
        <f t="shared" si="10"/>
        <v>60835.75</v>
      </c>
    </row>
    <row r="121" spans="2:11" x14ac:dyDescent="0.25">
      <c r="B121" s="31">
        <v>42578</v>
      </c>
      <c r="C121" s="21" t="s">
        <v>730</v>
      </c>
      <c r="D121" s="23"/>
      <c r="E121" s="23"/>
      <c r="F121" s="23"/>
      <c r="G121" s="23"/>
      <c r="H121" s="23">
        <v>1900</v>
      </c>
      <c r="I121" s="27"/>
      <c r="J121" s="24">
        <f t="shared" si="9"/>
        <v>46316.66</v>
      </c>
      <c r="K121" s="24">
        <f t="shared" si="10"/>
        <v>58935.75</v>
      </c>
    </row>
    <row r="122" spans="2:11" x14ac:dyDescent="0.25">
      <c r="B122" s="31">
        <v>42579</v>
      </c>
      <c r="C122" s="21" t="s">
        <v>731</v>
      </c>
      <c r="D122" s="23"/>
      <c r="E122" s="23"/>
      <c r="F122" s="23"/>
      <c r="G122" s="23"/>
      <c r="H122" s="23">
        <v>400</v>
      </c>
      <c r="I122" s="27"/>
      <c r="J122" s="24">
        <f t="shared" si="9"/>
        <v>46316.66</v>
      </c>
      <c r="K122" s="24">
        <f t="shared" si="10"/>
        <v>58535.75</v>
      </c>
    </row>
    <row r="123" spans="2:11" x14ac:dyDescent="0.25">
      <c r="B123" s="31">
        <v>42580</v>
      </c>
      <c r="C123" s="21" t="s">
        <v>720</v>
      </c>
      <c r="D123" s="23"/>
      <c r="E123" s="23"/>
      <c r="F123" s="23"/>
      <c r="G123" s="23"/>
      <c r="H123" s="23">
        <v>1000</v>
      </c>
      <c r="I123" s="27"/>
      <c r="J123" s="24">
        <f t="shared" si="9"/>
        <v>46316.66</v>
      </c>
      <c r="K123" s="24">
        <f t="shared" si="10"/>
        <v>57535.75</v>
      </c>
    </row>
    <row r="124" spans="2:11" x14ac:dyDescent="0.25">
      <c r="B124" s="31">
        <v>42582</v>
      </c>
      <c r="C124" s="21" t="s">
        <v>507</v>
      </c>
      <c r="D124" s="23"/>
      <c r="E124" s="23"/>
      <c r="F124" s="23"/>
      <c r="G124" s="23"/>
      <c r="H124" s="23">
        <v>650</v>
      </c>
      <c r="I124" s="27"/>
      <c r="J124" s="24">
        <f t="shared" si="9"/>
        <v>46316.66</v>
      </c>
      <c r="K124" s="24">
        <f t="shared" si="10"/>
        <v>56885.75</v>
      </c>
    </row>
    <row r="125" spans="2:11" x14ac:dyDescent="0.25">
      <c r="B125" s="31">
        <v>42582</v>
      </c>
      <c r="C125" s="21" t="s">
        <v>721</v>
      </c>
      <c r="D125" s="73"/>
      <c r="E125" s="73"/>
      <c r="F125" s="73"/>
      <c r="G125" s="73"/>
      <c r="H125" s="23">
        <v>450</v>
      </c>
      <c r="I125" s="27"/>
      <c r="J125" s="24">
        <f t="shared" si="9"/>
        <v>46316.66</v>
      </c>
      <c r="K125" s="24">
        <f t="shared" si="10"/>
        <v>56435.75</v>
      </c>
    </row>
    <row r="126" spans="2:11" x14ac:dyDescent="0.25">
      <c r="B126" s="31">
        <v>42582</v>
      </c>
      <c r="C126" s="25" t="s">
        <v>649</v>
      </c>
      <c r="D126" s="73"/>
      <c r="E126" s="73"/>
      <c r="F126" s="73"/>
      <c r="G126" s="28"/>
      <c r="H126" s="23">
        <v>119.5</v>
      </c>
      <c r="I126" s="27"/>
      <c r="J126" s="24">
        <f t="shared" si="9"/>
        <v>46316.66</v>
      </c>
      <c r="K126" s="24">
        <f t="shared" si="10"/>
        <v>56316.25</v>
      </c>
    </row>
    <row r="127" spans="2:11" x14ac:dyDescent="0.25">
      <c r="B127" s="31">
        <v>42582</v>
      </c>
      <c r="C127" s="25" t="s">
        <v>647</v>
      </c>
      <c r="D127" s="73"/>
      <c r="E127" s="73"/>
      <c r="F127" s="73"/>
      <c r="G127" s="73"/>
      <c r="H127" s="23">
        <v>120</v>
      </c>
      <c r="I127" s="27"/>
      <c r="J127" s="24">
        <f t="shared" si="9"/>
        <v>46316.66</v>
      </c>
      <c r="K127" s="24">
        <f t="shared" si="10"/>
        <v>56196.25</v>
      </c>
    </row>
    <row r="128" spans="2:11" x14ac:dyDescent="0.25">
      <c r="B128" s="31">
        <v>42582</v>
      </c>
      <c r="C128" s="25" t="s">
        <v>722</v>
      </c>
      <c r="D128" s="73"/>
      <c r="E128" s="73"/>
      <c r="F128" s="73"/>
      <c r="G128" s="73"/>
      <c r="H128" s="23">
        <v>2700</v>
      </c>
      <c r="I128" s="27"/>
      <c r="J128" s="24">
        <f t="shared" si="9"/>
        <v>46316.66</v>
      </c>
      <c r="K128" s="24">
        <f t="shared" si="10"/>
        <v>53496.25</v>
      </c>
    </row>
    <row r="129" spans="2:11" x14ac:dyDescent="0.25">
      <c r="B129" s="31">
        <v>42582</v>
      </c>
      <c r="C129" s="25" t="s">
        <v>724</v>
      </c>
      <c r="D129" s="73"/>
      <c r="E129" s="73"/>
      <c r="F129" s="73"/>
      <c r="G129" s="28"/>
      <c r="H129" s="23">
        <v>29000</v>
      </c>
      <c r="I129" s="27"/>
      <c r="J129" s="24">
        <f t="shared" si="9"/>
        <v>46316.66</v>
      </c>
      <c r="K129" s="24">
        <f t="shared" si="10"/>
        <v>24496.25</v>
      </c>
    </row>
    <row r="130" spans="2:11" x14ac:dyDescent="0.25">
      <c r="B130" s="31">
        <v>42582</v>
      </c>
      <c r="C130" s="25" t="s">
        <v>656</v>
      </c>
      <c r="D130" s="73"/>
      <c r="E130" s="73"/>
      <c r="F130" s="73"/>
      <c r="G130" s="73"/>
      <c r="H130" s="23">
        <v>4000</v>
      </c>
      <c r="I130" s="27"/>
      <c r="J130" s="24">
        <f t="shared" si="9"/>
        <v>46316.66</v>
      </c>
      <c r="K130" s="24">
        <f t="shared" si="10"/>
        <v>20496.25</v>
      </c>
    </row>
    <row r="131" spans="2:11" x14ac:dyDescent="0.25">
      <c r="B131" s="31">
        <v>42582</v>
      </c>
      <c r="C131" s="21" t="s">
        <v>732</v>
      </c>
      <c r="D131" s="23">
        <v>20050</v>
      </c>
      <c r="E131" s="23"/>
      <c r="F131" s="23"/>
      <c r="G131" s="23"/>
      <c r="H131" s="23"/>
      <c r="I131" s="27"/>
      <c r="J131" s="24">
        <f t="shared" si="9"/>
        <v>46316.66</v>
      </c>
      <c r="K131" s="24">
        <f t="shared" si="10"/>
        <v>40546.25</v>
      </c>
    </row>
    <row r="132" spans="2:11" x14ac:dyDescent="0.25">
      <c r="B132" s="31">
        <v>42559</v>
      </c>
      <c r="C132" s="21" t="s">
        <v>734</v>
      </c>
      <c r="D132" s="23"/>
      <c r="E132" s="23">
        <v>300.45999999999998</v>
      </c>
      <c r="F132" s="23"/>
      <c r="G132" s="23"/>
      <c r="H132" s="23"/>
      <c r="I132" s="27"/>
      <c r="J132" s="24">
        <f t="shared" si="9"/>
        <v>46617.120000000003</v>
      </c>
      <c r="K132" s="24">
        <f t="shared" si="10"/>
        <v>40546.25</v>
      </c>
    </row>
    <row r="133" spans="2:11" x14ac:dyDescent="0.25">
      <c r="B133" s="31">
        <v>42580</v>
      </c>
      <c r="C133" s="21" t="s">
        <v>735</v>
      </c>
      <c r="D133" s="23"/>
      <c r="E133" s="23"/>
      <c r="F133" s="23"/>
      <c r="G133" s="23">
        <v>42</v>
      </c>
      <c r="H133" s="23"/>
      <c r="I133" s="27"/>
      <c r="J133" s="24">
        <f t="shared" si="9"/>
        <v>46575.12</v>
      </c>
      <c r="K133" s="24">
        <f t="shared" si="10"/>
        <v>40546.25</v>
      </c>
    </row>
    <row r="134" spans="2:11" x14ac:dyDescent="0.25">
      <c r="B134" s="31">
        <v>42580</v>
      </c>
      <c r="C134" s="21" t="s">
        <v>736</v>
      </c>
      <c r="D134" s="23"/>
      <c r="E134" s="23"/>
      <c r="F134" s="23"/>
      <c r="G134" s="23">
        <v>6.72</v>
      </c>
      <c r="H134" s="23"/>
      <c r="I134" s="27"/>
      <c r="J134" s="24">
        <f t="shared" si="9"/>
        <v>46568.4</v>
      </c>
      <c r="K134" s="24">
        <f t="shared" si="10"/>
        <v>40546.25</v>
      </c>
    </row>
    <row r="135" spans="2:11" ht="15.75" thickBot="1" x14ac:dyDescent="0.3">
      <c r="B135" s="31"/>
      <c r="C135" s="21"/>
      <c r="D135" s="23"/>
      <c r="E135" s="23"/>
      <c r="F135" s="23"/>
      <c r="G135" s="23"/>
      <c r="H135" s="92"/>
      <c r="I135" s="27"/>
      <c r="J135" s="24">
        <f t="shared" si="9"/>
        <v>46568.4</v>
      </c>
      <c r="K135" s="24">
        <f t="shared" si="10"/>
        <v>40546.25</v>
      </c>
    </row>
    <row r="136" spans="2:11" ht="15.75" thickBot="1" x14ac:dyDescent="0.3">
      <c r="B136" s="13"/>
      <c r="C136" s="16" t="s">
        <v>0</v>
      </c>
      <c r="D136" s="105">
        <f>SUM(D97:D135)</f>
        <v>128925</v>
      </c>
      <c r="E136" s="103">
        <f>SUM(E97:E135)</f>
        <v>300.45999999999998</v>
      </c>
      <c r="F136" s="114">
        <f>SUM(D136:E136)</f>
        <v>129225.46</v>
      </c>
      <c r="G136" s="126">
        <f>SUM(G97:G135)</f>
        <v>6662.72</v>
      </c>
      <c r="H136" s="105">
        <f>SUM(H97:H135)</f>
        <v>119438.88</v>
      </c>
      <c r="I136" s="114">
        <f>SUM(G136:H136)</f>
        <v>126101.6</v>
      </c>
      <c r="J136" s="33"/>
      <c r="K136" s="33"/>
    </row>
    <row r="137" spans="2:11" ht="15.75" thickBot="1" x14ac:dyDescent="0.3"/>
    <row r="138" spans="2:11" ht="15.75" thickBot="1" x14ac:dyDescent="0.3">
      <c r="I138" s="117" t="s">
        <v>174</v>
      </c>
      <c r="J138" s="117" t="s">
        <v>173</v>
      </c>
      <c r="K138" s="141" t="s">
        <v>0</v>
      </c>
    </row>
    <row r="139" spans="2:11" ht="15.75" thickBot="1" x14ac:dyDescent="0.3">
      <c r="I139" s="39">
        <v>46568.3</v>
      </c>
      <c r="J139" s="39">
        <v>40546.25</v>
      </c>
      <c r="K139" s="33">
        <f>SUM(I139:J139)</f>
        <v>87114.55</v>
      </c>
    </row>
  </sheetData>
  <printOptions verticalCentered="1"/>
  <pageMargins left="0" right="0" top="0.39370078740157483" bottom="0" header="0.31496062992125984" footer="0.31496062992125984"/>
  <pageSetup paperSize="9" scale="80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B1:O151"/>
  <sheetViews>
    <sheetView topLeftCell="B1" zoomScaleNormal="100" workbookViewId="0">
      <pane ySplit="3" topLeftCell="A139" activePane="bottomLeft" state="frozen"/>
      <selection activeCell="B1" sqref="B1"/>
      <selection pane="bottomLeft" activeCell="D158" sqref="D158"/>
    </sheetView>
  </sheetViews>
  <sheetFormatPr baseColWidth="10" defaultRowHeight="15" x14ac:dyDescent="0.25"/>
  <cols>
    <col min="1" max="2" width="10.7109375" customWidth="1"/>
    <col min="3" max="3" width="79.5703125" customWidth="1"/>
    <col min="4" max="11" width="11.7109375" customWidth="1"/>
    <col min="12" max="12" width="11.42578125" bestFit="1" customWidth="1"/>
  </cols>
  <sheetData>
    <row r="1" spans="2:11" ht="16.5" thickBot="1" x14ac:dyDescent="0.3">
      <c r="B1" s="125"/>
      <c r="C1" s="127" t="s">
        <v>738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1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42582</v>
      </c>
      <c r="C4" s="108" t="s">
        <v>737</v>
      </c>
      <c r="D4" s="109"/>
      <c r="E4" s="106"/>
      <c r="F4" s="106"/>
      <c r="G4" s="106"/>
      <c r="H4" s="30"/>
      <c r="I4" s="107"/>
      <c r="J4" s="116">
        <v>46568.4</v>
      </c>
      <c r="K4" s="143">
        <v>40546.25</v>
      </c>
    </row>
    <row r="5" spans="2:11" x14ac:dyDescent="0.25">
      <c r="B5" s="36">
        <v>42583</v>
      </c>
      <c r="C5" s="21" t="s">
        <v>740</v>
      </c>
      <c r="D5" s="23"/>
      <c r="E5" s="23"/>
      <c r="F5" s="23"/>
      <c r="G5" s="23"/>
      <c r="H5" s="23">
        <v>50</v>
      </c>
      <c r="I5" s="27"/>
      <c r="J5" s="24">
        <f>+J4+E5-G5</f>
        <v>46568.4</v>
      </c>
      <c r="K5" s="24">
        <f t="shared" ref="K5:K10" si="0">+K4+D5-H5</f>
        <v>40496.25</v>
      </c>
    </row>
    <row r="6" spans="2:11" x14ac:dyDescent="0.25">
      <c r="B6" s="36">
        <v>42583</v>
      </c>
      <c r="C6" s="25" t="s">
        <v>741</v>
      </c>
      <c r="D6" s="23"/>
      <c r="E6" s="23"/>
      <c r="F6" s="23"/>
      <c r="G6" s="23"/>
      <c r="H6" s="23">
        <v>188</v>
      </c>
      <c r="I6" s="27"/>
      <c r="J6" s="24">
        <f t="shared" ref="J6:J10" si="1">+J5+E6-G6</f>
        <v>46568.4</v>
      </c>
      <c r="K6" s="24">
        <f t="shared" si="0"/>
        <v>40308.25</v>
      </c>
    </row>
    <row r="7" spans="2:11" x14ac:dyDescent="0.25">
      <c r="B7" s="31">
        <v>42583</v>
      </c>
      <c r="C7" s="21" t="s">
        <v>742</v>
      </c>
      <c r="D7" s="23"/>
      <c r="E7" s="23"/>
      <c r="F7" s="23"/>
      <c r="G7" s="23"/>
      <c r="H7" s="92">
        <v>450</v>
      </c>
      <c r="I7" s="27"/>
      <c r="J7" s="24">
        <f t="shared" si="1"/>
        <v>46568.4</v>
      </c>
      <c r="K7" s="24">
        <f t="shared" si="0"/>
        <v>39858.25</v>
      </c>
    </row>
    <row r="8" spans="2:11" x14ac:dyDescent="0.25">
      <c r="B8" s="31">
        <v>42583</v>
      </c>
      <c r="C8" s="25" t="s">
        <v>743</v>
      </c>
      <c r="D8" s="23"/>
      <c r="E8" s="23"/>
      <c r="F8" s="23"/>
      <c r="G8" s="23"/>
      <c r="H8" s="23">
        <v>117</v>
      </c>
      <c r="I8" s="27"/>
      <c r="J8" s="24">
        <f t="shared" si="1"/>
        <v>46568.4</v>
      </c>
      <c r="K8" s="24">
        <f t="shared" si="0"/>
        <v>39741.25</v>
      </c>
    </row>
    <row r="9" spans="2:11" x14ac:dyDescent="0.25">
      <c r="B9" s="31">
        <v>42583</v>
      </c>
      <c r="C9" s="21" t="s">
        <v>744</v>
      </c>
      <c r="D9" s="23"/>
      <c r="E9" s="23"/>
      <c r="F9" s="23"/>
      <c r="G9" s="23"/>
      <c r="H9" s="92">
        <v>350</v>
      </c>
      <c r="I9" s="27"/>
      <c r="J9" s="24">
        <f t="shared" si="1"/>
        <v>46568.4</v>
      </c>
      <c r="K9" s="24">
        <f t="shared" si="0"/>
        <v>39391.25</v>
      </c>
    </row>
    <row r="10" spans="2:11" x14ac:dyDescent="0.25">
      <c r="B10" s="31">
        <v>42583</v>
      </c>
      <c r="C10" s="21" t="s">
        <v>745</v>
      </c>
      <c r="D10" s="23"/>
      <c r="E10" s="23"/>
      <c r="F10" s="23"/>
      <c r="G10" s="23"/>
      <c r="H10" s="23">
        <v>350</v>
      </c>
      <c r="I10" s="27"/>
      <c r="J10" s="24">
        <f t="shared" si="1"/>
        <v>46568.4</v>
      </c>
      <c r="K10" s="24">
        <f t="shared" si="0"/>
        <v>39041.25</v>
      </c>
    </row>
    <row r="11" spans="2:11" x14ac:dyDescent="0.25">
      <c r="B11" s="31">
        <v>42583</v>
      </c>
      <c r="C11" s="21" t="s">
        <v>802</v>
      </c>
      <c r="D11" s="23"/>
      <c r="E11" s="23"/>
      <c r="F11" s="23"/>
      <c r="G11" s="23"/>
      <c r="H11" s="23">
        <v>400</v>
      </c>
      <c r="I11" s="27"/>
      <c r="J11" s="24">
        <f t="shared" ref="J11:J50" si="2">+J10+E11-G11</f>
        <v>46568.4</v>
      </c>
      <c r="K11" s="24">
        <f t="shared" ref="K11:K50" si="3">+K10+D11-H11</f>
        <v>38641.25</v>
      </c>
    </row>
    <row r="12" spans="2:11" x14ac:dyDescent="0.25">
      <c r="B12" s="31">
        <v>42584</v>
      </c>
      <c r="C12" s="21" t="s">
        <v>746</v>
      </c>
      <c r="D12" s="23"/>
      <c r="E12" s="23"/>
      <c r="F12" s="23"/>
      <c r="G12" s="23"/>
      <c r="H12" s="23">
        <v>75.8</v>
      </c>
      <c r="I12" s="27"/>
      <c r="J12" s="24">
        <f t="shared" si="2"/>
        <v>46568.4</v>
      </c>
      <c r="K12" s="24">
        <f t="shared" si="3"/>
        <v>38565.449999999997</v>
      </c>
    </row>
    <row r="13" spans="2:11" x14ac:dyDescent="0.25">
      <c r="B13" s="31">
        <v>42584</v>
      </c>
      <c r="C13" s="21" t="s">
        <v>747</v>
      </c>
      <c r="D13" s="23"/>
      <c r="E13" s="23"/>
      <c r="F13" s="23"/>
      <c r="G13" s="23"/>
      <c r="H13" s="92">
        <v>799</v>
      </c>
      <c r="I13" s="27"/>
      <c r="J13" s="24">
        <f t="shared" si="2"/>
        <v>46568.4</v>
      </c>
      <c r="K13" s="24">
        <f t="shared" si="3"/>
        <v>37766.449999999997</v>
      </c>
    </row>
    <row r="14" spans="2:11" x14ac:dyDescent="0.25">
      <c r="B14" s="31">
        <v>42585</v>
      </c>
      <c r="C14" s="21" t="s">
        <v>56</v>
      </c>
      <c r="D14" s="23"/>
      <c r="E14" s="23"/>
      <c r="F14" s="23"/>
      <c r="G14" s="23"/>
      <c r="H14" s="23">
        <v>162</v>
      </c>
      <c r="I14" s="27"/>
      <c r="J14" s="24">
        <f t="shared" si="2"/>
        <v>46568.4</v>
      </c>
      <c r="K14" s="24">
        <f t="shared" si="3"/>
        <v>37604.449999999997</v>
      </c>
    </row>
    <row r="15" spans="2:11" x14ac:dyDescent="0.25">
      <c r="B15" s="31">
        <v>42585</v>
      </c>
      <c r="C15" s="21" t="s">
        <v>748</v>
      </c>
      <c r="D15" s="23"/>
      <c r="E15" s="23"/>
      <c r="F15" s="23"/>
      <c r="G15" s="23"/>
      <c r="H15" s="92">
        <v>252.4</v>
      </c>
      <c r="I15" s="27"/>
      <c r="J15" s="24">
        <f t="shared" si="2"/>
        <v>46568.4</v>
      </c>
      <c r="K15" s="24">
        <f t="shared" si="3"/>
        <v>37352.049999999996</v>
      </c>
    </row>
    <row r="16" spans="2:11" x14ac:dyDescent="0.25">
      <c r="B16" s="31">
        <v>42585</v>
      </c>
      <c r="C16" s="21" t="s">
        <v>749</v>
      </c>
      <c r="D16" s="23"/>
      <c r="E16" s="23"/>
      <c r="F16" s="23"/>
      <c r="G16" s="23"/>
      <c r="H16" s="23">
        <v>23.9</v>
      </c>
      <c r="I16" s="27"/>
      <c r="J16" s="24">
        <f t="shared" si="2"/>
        <v>46568.4</v>
      </c>
      <c r="K16" s="24">
        <f t="shared" si="3"/>
        <v>37328.149999999994</v>
      </c>
    </row>
    <row r="17" spans="2:11" x14ac:dyDescent="0.25">
      <c r="B17" s="31">
        <v>42585</v>
      </c>
      <c r="C17" s="21" t="s">
        <v>750</v>
      </c>
      <c r="D17" s="23"/>
      <c r="E17" s="23"/>
      <c r="F17" s="23"/>
      <c r="G17" s="23"/>
      <c r="H17" s="23">
        <v>160</v>
      </c>
      <c r="I17" s="27"/>
      <c r="J17" s="24">
        <f t="shared" si="2"/>
        <v>46568.4</v>
      </c>
      <c r="K17" s="24">
        <f t="shared" si="3"/>
        <v>37168.149999999994</v>
      </c>
    </row>
    <row r="18" spans="2:11" x14ac:dyDescent="0.25">
      <c r="B18" s="31">
        <v>42586</v>
      </c>
      <c r="C18" s="21" t="s">
        <v>751</v>
      </c>
      <c r="D18" s="23"/>
      <c r="E18" s="23"/>
      <c r="F18" s="23"/>
      <c r="G18" s="23"/>
      <c r="H18" s="23">
        <v>193</v>
      </c>
      <c r="I18" s="27"/>
      <c r="J18" s="24">
        <f t="shared" si="2"/>
        <v>46568.4</v>
      </c>
      <c r="K18" s="24">
        <f t="shared" si="3"/>
        <v>36975.149999999994</v>
      </c>
    </row>
    <row r="19" spans="2:11" x14ac:dyDescent="0.25">
      <c r="B19" s="31">
        <v>42587</v>
      </c>
      <c r="C19" s="21" t="s">
        <v>752</v>
      </c>
      <c r="D19" s="23"/>
      <c r="E19" s="23"/>
      <c r="F19" s="23"/>
      <c r="G19" s="23"/>
      <c r="H19" s="23">
        <v>1000</v>
      </c>
      <c r="I19" s="27"/>
      <c r="J19" s="24">
        <f t="shared" si="2"/>
        <v>46568.4</v>
      </c>
      <c r="K19" s="24">
        <f t="shared" si="3"/>
        <v>35975.149999999994</v>
      </c>
    </row>
    <row r="20" spans="2:11" x14ac:dyDescent="0.25">
      <c r="B20" s="31">
        <v>42587</v>
      </c>
      <c r="C20" s="21" t="s">
        <v>753</v>
      </c>
      <c r="D20" s="23"/>
      <c r="E20" s="23"/>
      <c r="F20" s="23"/>
      <c r="G20" s="23"/>
      <c r="H20" s="23">
        <v>150</v>
      </c>
      <c r="I20" s="27"/>
      <c r="J20" s="24">
        <f t="shared" si="2"/>
        <v>46568.4</v>
      </c>
      <c r="K20" s="24">
        <f t="shared" si="3"/>
        <v>35825.149999999994</v>
      </c>
    </row>
    <row r="21" spans="2:11" x14ac:dyDescent="0.25">
      <c r="B21" s="31">
        <v>42588</v>
      </c>
      <c r="C21" s="21" t="s">
        <v>754</v>
      </c>
      <c r="D21" s="23"/>
      <c r="E21" s="23"/>
      <c r="F21" s="23"/>
      <c r="G21" s="23"/>
      <c r="H21" s="23">
        <v>350</v>
      </c>
      <c r="I21" s="27"/>
      <c r="J21" s="24">
        <f t="shared" si="2"/>
        <v>46568.4</v>
      </c>
      <c r="K21" s="24">
        <f t="shared" si="3"/>
        <v>35475.149999999994</v>
      </c>
    </row>
    <row r="22" spans="2:11" x14ac:dyDescent="0.25">
      <c r="B22" s="31">
        <v>42589</v>
      </c>
      <c r="C22" s="21" t="s">
        <v>755</v>
      </c>
      <c r="D22" s="23"/>
      <c r="E22" s="23"/>
      <c r="F22" s="23"/>
      <c r="G22" s="23"/>
      <c r="H22" s="92">
        <v>400</v>
      </c>
      <c r="I22" s="27"/>
      <c r="J22" s="24">
        <f t="shared" si="2"/>
        <v>46568.4</v>
      </c>
      <c r="K22" s="24">
        <f t="shared" si="3"/>
        <v>35075.149999999994</v>
      </c>
    </row>
    <row r="23" spans="2:11" x14ac:dyDescent="0.25">
      <c r="B23" s="31">
        <v>42589</v>
      </c>
      <c r="C23" s="21" t="s">
        <v>756</v>
      </c>
      <c r="D23" s="23"/>
      <c r="E23" s="23"/>
      <c r="F23" s="23"/>
      <c r="G23" s="23"/>
      <c r="H23" s="92">
        <v>75</v>
      </c>
      <c r="I23" s="27"/>
      <c r="J23" s="24">
        <f t="shared" si="2"/>
        <v>46568.4</v>
      </c>
      <c r="K23" s="24">
        <f t="shared" si="3"/>
        <v>35000.149999999994</v>
      </c>
    </row>
    <row r="24" spans="2:11" x14ac:dyDescent="0.25">
      <c r="B24" s="31">
        <v>42589</v>
      </c>
      <c r="C24" s="21" t="s">
        <v>757</v>
      </c>
      <c r="D24" s="23">
        <v>22325</v>
      </c>
      <c r="E24" s="23"/>
      <c r="F24" s="23"/>
      <c r="G24" s="23"/>
      <c r="H24" s="23"/>
      <c r="I24" s="27"/>
      <c r="J24" s="24">
        <f t="shared" si="2"/>
        <v>46568.4</v>
      </c>
      <c r="K24" s="24">
        <f t="shared" si="3"/>
        <v>57325.149999999994</v>
      </c>
    </row>
    <row r="25" spans="2:11" x14ac:dyDescent="0.25">
      <c r="B25" s="31">
        <v>42590</v>
      </c>
      <c r="C25" s="21" t="s">
        <v>758</v>
      </c>
      <c r="D25" s="23"/>
      <c r="E25" s="23"/>
      <c r="F25" s="23"/>
      <c r="G25" s="23"/>
      <c r="H25" s="23">
        <v>400</v>
      </c>
      <c r="I25" s="27"/>
      <c r="J25" s="24">
        <f t="shared" si="2"/>
        <v>46568.4</v>
      </c>
      <c r="K25" s="24">
        <f t="shared" si="3"/>
        <v>56925.149999999994</v>
      </c>
    </row>
    <row r="26" spans="2:11" x14ac:dyDescent="0.25">
      <c r="B26" s="31">
        <v>42590</v>
      </c>
      <c r="C26" s="21" t="s">
        <v>759</v>
      </c>
      <c r="D26" s="23"/>
      <c r="E26" s="23"/>
      <c r="F26" s="23"/>
      <c r="G26" s="23"/>
      <c r="H26" s="23">
        <v>1200</v>
      </c>
      <c r="I26" s="27"/>
      <c r="J26" s="24">
        <f t="shared" si="2"/>
        <v>46568.4</v>
      </c>
      <c r="K26" s="24">
        <f t="shared" si="3"/>
        <v>55725.149999999994</v>
      </c>
    </row>
    <row r="27" spans="2:11" x14ac:dyDescent="0.25">
      <c r="B27" s="31">
        <v>42590</v>
      </c>
      <c r="C27" s="21" t="s">
        <v>760</v>
      </c>
      <c r="D27" s="23"/>
      <c r="E27" s="23"/>
      <c r="F27" s="23"/>
      <c r="G27" s="23"/>
      <c r="H27" s="23">
        <v>250</v>
      </c>
      <c r="I27" s="27"/>
      <c r="J27" s="24">
        <f t="shared" si="2"/>
        <v>46568.4</v>
      </c>
      <c r="K27" s="24">
        <f t="shared" si="3"/>
        <v>55475.149999999994</v>
      </c>
    </row>
    <row r="28" spans="2:11" x14ac:dyDescent="0.25">
      <c r="B28" s="31">
        <v>42590</v>
      </c>
      <c r="C28" s="21" t="s">
        <v>761</v>
      </c>
      <c r="D28" s="23"/>
      <c r="E28" s="23"/>
      <c r="F28" s="23"/>
      <c r="G28" s="23"/>
      <c r="H28" s="23">
        <v>400</v>
      </c>
      <c r="I28" s="27"/>
      <c r="J28" s="24">
        <f t="shared" si="2"/>
        <v>46568.4</v>
      </c>
      <c r="K28" s="24">
        <f t="shared" si="3"/>
        <v>55075.149999999994</v>
      </c>
    </row>
    <row r="29" spans="2:11" x14ac:dyDescent="0.25">
      <c r="B29" s="31">
        <v>42590</v>
      </c>
      <c r="C29" s="21" t="s">
        <v>762</v>
      </c>
      <c r="D29" s="23"/>
      <c r="E29" s="23"/>
      <c r="F29" s="23"/>
      <c r="G29" s="23"/>
      <c r="H29" s="23">
        <v>250</v>
      </c>
      <c r="I29" s="27"/>
      <c r="J29" s="24">
        <f t="shared" si="2"/>
        <v>46568.4</v>
      </c>
      <c r="K29" s="24">
        <f t="shared" si="3"/>
        <v>54825.149999999994</v>
      </c>
    </row>
    <row r="30" spans="2:11" x14ac:dyDescent="0.25">
      <c r="B30" s="31">
        <v>42590</v>
      </c>
      <c r="C30" s="21" t="s">
        <v>763</v>
      </c>
      <c r="D30" s="23"/>
      <c r="E30" s="23"/>
      <c r="F30" s="23"/>
      <c r="G30" s="23"/>
      <c r="H30" s="23">
        <v>345</v>
      </c>
      <c r="I30" s="27"/>
      <c r="J30" s="24">
        <f t="shared" si="2"/>
        <v>46568.4</v>
      </c>
      <c r="K30" s="24">
        <f t="shared" si="3"/>
        <v>54480.149999999994</v>
      </c>
    </row>
    <row r="31" spans="2:11" x14ac:dyDescent="0.25">
      <c r="B31" s="31">
        <v>42591</v>
      </c>
      <c r="C31" s="21" t="s">
        <v>764</v>
      </c>
      <c r="D31" s="23"/>
      <c r="E31" s="23"/>
      <c r="F31" s="23"/>
      <c r="G31" s="23"/>
      <c r="H31" s="92">
        <v>20</v>
      </c>
      <c r="I31" s="27"/>
      <c r="J31" s="24">
        <f t="shared" si="2"/>
        <v>46568.4</v>
      </c>
      <c r="K31" s="24">
        <f t="shared" si="3"/>
        <v>54460.149999999994</v>
      </c>
    </row>
    <row r="32" spans="2:11" x14ac:dyDescent="0.25">
      <c r="B32" s="31">
        <v>42591</v>
      </c>
      <c r="C32" s="21" t="s">
        <v>765</v>
      </c>
      <c r="D32" s="23"/>
      <c r="E32" s="23"/>
      <c r="F32" s="23"/>
      <c r="G32" s="23"/>
      <c r="H32" s="23">
        <v>600</v>
      </c>
      <c r="I32" s="27"/>
      <c r="J32" s="24">
        <f t="shared" si="2"/>
        <v>46568.4</v>
      </c>
      <c r="K32" s="24">
        <f t="shared" si="3"/>
        <v>53860.149999999994</v>
      </c>
    </row>
    <row r="33" spans="2:11" x14ac:dyDescent="0.25">
      <c r="B33" s="31">
        <v>42591</v>
      </c>
      <c r="C33" s="21" t="s">
        <v>766</v>
      </c>
      <c r="D33" s="23"/>
      <c r="E33" s="23"/>
      <c r="F33" s="23"/>
      <c r="G33" s="23"/>
      <c r="H33" s="23">
        <v>201.52</v>
      </c>
      <c r="I33" s="27"/>
      <c r="J33" s="24">
        <f t="shared" si="2"/>
        <v>46568.4</v>
      </c>
      <c r="K33" s="24">
        <f t="shared" si="3"/>
        <v>53658.63</v>
      </c>
    </row>
    <row r="34" spans="2:11" x14ac:dyDescent="0.25">
      <c r="B34" s="31">
        <v>42591</v>
      </c>
      <c r="C34" s="21" t="s">
        <v>767</v>
      </c>
      <c r="D34" s="23"/>
      <c r="E34" s="23"/>
      <c r="F34" s="23"/>
      <c r="G34" s="23"/>
      <c r="H34" s="23">
        <v>200</v>
      </c>
      <c r="I34" s="27"/>
      <c r="J34" s="24">
        <f t="shared" si="2"/>
        <v>46568.4</v>
      </c>
      <c r="K34" s="24">
        <f t="shared" si="3"/>
        <v>53458.63</v>
      </c>
    </row>
    <row r="35" spans="2:11" x14ac:dyDescent="0.25">
      <c r="B35" s="31">
        <v>42591</v>
      </c>
      <c r="C35" s="21" t="s">
        <v>768</v>
      </c>
      <c r="D35" s="23"/>
      <c r="E35" s="23"/>
      <c r="F35" s="23"/>
      <c r="G35" s="23"/>
      <c r="H35" s="23">
        <v>5000</v>
      </c>
      <c r="I35" s="27"/>
      <c r="J35" s="24">
        <f t="shared" si="2"/>
        <v>46568.4</v>
      </c>
      <c r="K35" s="24">
        <f t="shared" si="3"/>
        <v>48458.63</v>
      </c>
    </row>
    <row r="36" spans="2:11" x14ac:dyDescent="0.25">
      <c r="B36" s="31">
        <v>42591</v>
      </c>
      <c r="C36" s="21" t="s">
        <v>769</v>
      </c>
      <c r="D36" s="23"/>
      <c r="E36" s="23"/>
      <c r="F36" s="23"/>
      <c r="G36" s="23"/>
      <c r="H36" s="23">
        <v>550</v>
      </c>
      <c r="I36" s="27"/>
      <c r="J36" s="24">
        <f t="shared" si="2"/>
        <v>46568.4</v>
      </c>
      <c r="K36" s="24">
        <f t="shared" si="3"/>
        <v>47908.63</v>
      </c>
    </row>
    <row r="37" spans="2:11" x14ac:dyDescent="0.25">
      <c r="B37" s="31">
        <v>42591</v>
      </c>
      <c r="C37" s="21" t="s">
        <v>770</v>
      </c>
      <c r="D37" s="23"/>
      <c r="E37" s="23"/>
      <c r="F37" s="23"/>
      <c r="G37" s="23"/>
      <c r="H37" s="23">
        <v>49.5</v>
      </c>
      <c r="I37" s="27"/>
      <c r="J37" s="24">
        <f t="shared" si="2"/>
        <v>46568.4</v>
      </c>
      <c r="K37" s="24">
        <f t="shared" si="3"/>
        <v>47859.13</v>
      </c>
    </row>
    <row r="38" spans="2:11" x14ac:dyDescent="0.25">
      <c r="B38" s="31">
        <v>42591</v>
      </c>
      <c r="C38" s="21" t="s">
        <v>771</v>
      </c>
      <c r="D38" s="23"/>
      <c r="E38" s="23"/>
      <c r="F38" s="23"/>
      <c r="G38" s="23"/>
      <c r="H38" s="23">
        <v>278</v>
      </c>
      <c r="I38" s="27"/>
      <c r="J38" s="24">
        <f t="shared" si="2"/>
        <v>46568.4</v>
      </c>
      <c r="K38" s="24">
        <f t="shared" si="3"/>
        <v>47581.13</v>
      </c>
    </row>
    <row r="39" spans="2:11" x14ac:dyDescent="0.25">
      <c r="B39" s="31">
        <v>42592</v>
      </c>
      <c r="C39" s="21" t="s">
        <v>772</v>
      </c>
      <c r="D39" s="23"/>
      <c r="E39" s="23"/>
      <c r="F39" s="23"/>
      <c r="G39" s="23"/>
      <c r="H39" s="23">
        <v>273</v>
      </c>
      <c r="I39" s="27"/>
      <c r="J39" s="24">
        <f t="shared" si="2"/>
        <v>46568.4</v>
      </c>
      <c r="K39" s="24">
        <f t="shared" si="3"/>
        <v>47308.13</v>
      </c>
    </row>
    <row r="40" spans="2:11" x14ac:dyDescent="0.25">
      <c r="B40" s="31">
        <v>42593</v>
      </c>
      <c r="C40" s="21" t="s">
        <v>775</v>
      </c>
      <c r="D40" s="23"/>
      <c r="E40" s="23"/>
      <c r="F40" s="23"/>
      <c r="G40" s="23"/>
      <c r="H40" s="23">
        <v>200</v>
      </c>
      <c r="I40" s="27"/>
      <c r="J40" s="24">
        <f t="shared" si="2"/>
        <v>46568.4</v>
      </c>
      <c r="K40" s="24">
        <f t="shared" si="3"/>
        <v>47108.13</v>
      </c>
    </row>
    <row r="41" spans="2:11" x14ac:dyDescent="0.25">
      <c r="B41" s="31">
        <v>42593</v>
      </c>
      <c r="C41" s="21" t="s">
        <v>778</v>
      </c>
      <c r="D41" s="23"/>
      <c r="E41" s="23"/>
      <c r="F41" s="23"/>
      <c r="G41" s="23"/>
      <c r="H41" s="92">
        <v>1098</v>
      </c>
      <c r="I41" s="27"/>
      <c r="J41" s="24">
        <f t="shared" si="2"/>
        <v>46568.4</v>
      </c>
      <c r="K41" s="24">
        <f t="shared" si="3"/>
        <v>46010.13</v>
      </c>
    </row>
    <row r="42" spans="2:11" x14ac:dyDescent="0.25">
      <c r="B42" s="31">
        <v>42593</v>
      </c>
      <c r="C42" s="21" t="s">
        <v>776</v>
      </c>
      <c r="D42" s="23"/>
      <c r="E42" s="23"/>
      <c r="F42" s="23"/>
      <c r="G42" s="23"/>
      <c r="H42" s="92">
        <v>393.43</v>
      </c>
      <c r="I42" s="27"/>
      <c r="J42" s="24">
        <f t="shared" si="2"/>
        <v>46568.4</v>
      </c>
      <c r="K42" s="24">
        <f t="shared" si="3"/>
        <v>45616.7</v>
      </c>
    </row>
    <row r="43" spans="2:11" x14ac:dyDescent="0.25">
      <c r="B43" s="31">
        <v>42593</v>
      </c>
      <c r="C43" s="21" t="s">
        <v>779</v>
      </c>
      <c r="D43" s="23"/>
      <c r="E43" s="23"/>
      <c r="F43" s="23"/>
      <c r="G43" s="23"/>
      <c r="H43" s="92">
        <v>1990</v>
      </c>
      <c r="I43" s="27"/>
      <c r="J43" s="24">
        <f t="shared" si="2"/>
        <v>46568.4</v>
      </c>
      <c r="K43" s="24">
        <f t="shared" si="3"/>
        <v>43626.7</v>
      </c>
    </row>
    <row r="44" spans="2:11" x14ac:dyDescent="0.25">
      <c r="B44" s="31">
        <v>42593</v>
      </c>
      <c r="C44" s="21" t="s">
        <v>603</v>
      </c>
      <c r="D44" s="23"/>
      <c r="E44" s="23"/>
      <c r="F44" s="23"/>
      <c r="G44" s="23"/>
      <c r="H44" s="92">
        <v>190</v>
      </c>
      <c r="I44" s="27"/>
      <c r="J44" s="24">
        <f t="shared" si="2"/>
        <v>46568.4</v>
      </c>
      <c r="K44" s="24">
        <f t="shared" si="3"/>
        <v>43436.7</v>
      </c>
    </row>
    <row r="45" spans="2:11" x14ac:dyDescent="0.25">
      <c r="B45" s="31">
        <v>42594</v>
      </c>
      <c r="C45" s="25" t="s">
        <v>780</v>
      </c>
      <c r="D45" s="73"/>
      <c r="E45" s="73"/>
      <c r="F45" s="73"/>
      <c r="G45" s="73"/>
      <c r="H45" s="23">
        <v>1000</v>
      </c>
      <c r="I45" s="27"/>
      <c r="J45" s="24">
        <f t="shared" si="2"/>
        <v>46568.4</v>
      </c>
      <c r="K45" s="24">
        <f t="shared" si="3"/>
        <v>42436.7</v>
      </c>
    </row>
    <row r="46" spans="2:11" x14ac:dyDescent="0.25">
      <c r="B46" s="31">
        <v>42594</v>
      </c>
      <c r="C46" s="25" t="s">
        <v>781</v>
      </c>
      <c r="D46" s="73"/>
      <c r="E46" s="73"/>
      <c r="F46" s="73"/>
      <c r="G46" s="28"/>
      <c r="H46" s="23">
        <v>450</v>
      </c>
      <c r="I46" s="27"/>
      <c r="J46" s="24">
        <f t="shared" si="2"/>
        <v>46568.4</v>
      </c>
      <c r="K46" s="24">
        <f t="shared" si="3"/>
        <v>41986.7</v>
      </c>
    </row>
    <row r="47" spans="2:11" x14ac:dyDescent="0.25">
      <c r="B47" s="31">
        <v>42594</v>
      </c>
      <c r="C47" s="25" t="s">
        <v>782</v>
      </c>
      <c r="D47" s="73"/>
      <c r="E47" s="73"/>
      <c r="F47" s="73"/>
      <c r="G47" s="73"/>
      <c r="H47" s="23">
        <v>376.92</v>
      </c>
      <c r="I47" s="27"/>
      <c r="J47" s="24">
        <f t="shared" si="2"/>
        <v>46568.4</v>
      </c>
      <c r="K47" s="24">
        <f t="shared" si="3"/>
        <v>41609.78</v>
      </c>
    </row>
    <row r="48" spans="2:11" x14ac:dyDescent="0.25">
      <c r="B48" s="31">
        <v>42594</v>
      </c>
      <c r="C48" s="25" t="s">
        <v>783</v>
      </c>
      <c r="D48" s="23"/>
      <c r="E48" s="23"/>
      <c r="F48" s="23"/>
      <c r="G48" s="23"/>
      <c r="H48" s="23">
        <v>150</v>
      </c>
      <c r="I48" s="27"/>
      <c r="J48" s="24">
        <f t="shared" si="2"/>
        <v>46568.4</v>
      </c>
      <c r="K48" s="24">
        <f t="shared" si="3"/>
        <v>41459.78</v>
      </c>
    </row>
    <row r="49" spans="2:11" x14ac:dyDescent="0.25">
      <c r="B49" s="31">
        <v>42594</v>
      </c>
      <c r="C49" s="25" t="s">
        <v>784</v>
      </c>
      <c r="D49" s="23"/>
      <c r="E49" s="23"/>
      <c r="F49" s="23"/>
      <c r="G49" s="23"/>
      <c r="H49" s="23">
        <v>135</v>
      </c>
      <c r="I49" s="27"/>
      <c r="J49" s="24">
        <f t="shared" si="2"/>
        <v>46568.4</v>
      </c>
      <c r="K49" s="24">
        <f t="shared" si="3"/>
        <v>41324.78</v>
      </c>
    </row>
    <row r="50" spans="2:11" x14ac:dyDescent="0.25">
      <c r="B50" s="31">
        <v>42594</v>
      </c>
      <c r="C50" s="25" t="s">
        <v>785</v>
      </c>
      <c r="D50" s="23"/>
      <c r="E50" s="23"/>
      <c r="F50" s="23"/>
      <c r="G50" s="23"/>
      <c r="H50" s="23">
        <v>2800</v>
      </c>
      <c r="I50" s="27"/>
      <c r="J50" s="24">
        <f t="shared" si="2"/>
        <v>46568.4</v>
      </c>
      <c r="K50" s="24">
        <f t="shared" si="3"/>
        <v>38524.78</v>
      </c>
    </row>
    <row r="51" spans="2:11" x14ac:dyDescent="0.25">
      <c r="B51" s="31">
        <v>42594</v>
      </c>
      <c r="C51" s="21" t="s">
        <v>786</v>
      </c>
      <c r="D51" s="23"/>
      <c r="E51" s="23"/>
      <c r="F51" s="23"/>
      <c r="G51" s="23"/>
      <c r="H51" s="23">
        <v>640</v>
      </c>
      <c r="I51" s="27"/>
      <c r="J51" s="24">
        <f t="shared" ref="J51:J55" si="4">+J50+E51-G51</f>
        <v>46568.4</v>
      </c>
      <c r="K51" s="24">
        <f t="shared" ref="K51:K55" si="5">+K50+D51-H51</f>
        <v>37884.78</v>
      </c>
    </row>
    <row r="52" spans="2:11" x14ac:dyDescent="0.25">
      <c r="B52" s="31">
        <v>42594</v>
      </c>
      <c r="C52" s="21" t="s">
        <v>787</v>
      </c>
      <c r="D52" s="23"/>
      <c r="E52" s="23"/>
      <c r="F52" s="23"/>
      <c r="G52" s="23"/>
      <c r="H52" s="23">
        <v>443</v>
      </c>
      <c r="I52" s="27"/>
      <c r="J52" s="24">
        <f t="shared" si="4"/>
        <v>46568.4</v>
      </c>
      <c r="K52" s="24">
        <f t="shared" si="5"/>
        <v>37441.78</v>
      </c>
    </row>
    <row r="53" spans="2:11" x14ac:dyDescent="0.25">
      <c r="B53" s="31">
        <v>42594</v>
      </c>
      <c r="C53" s="21" t="s">
        <v>788</v>
      </c>
      <c r="D53" s="23"/>
      <c r="E53" s="23"/>
      <c r="F53" s="23"/>
      <c r="G53" s="23"/>
      <c r="H53" s="92">
        <v>500</v>
      </c>
      <c r="I53" s="27"/>
      <c r="J53" s="24">
        <f t="shared" si="4"/>
        <v>46568.4</v>
      </c>
      <c r="K53" s="24">
        <f t="shared" si="5"/>
        <v>36941.78</v>
      </c>
    </row>
    <row r="54" spans="2:11" x14ac:dyDescent="0.25">
      <c r="B54" s="31">
        <v>42594</v>
      </c>
      <c r="C54" s="25" t="s">
        <v>789</v>
      </c>
      <c r="D54" s="73"/>
      <c r="E54" s="73"/>
      <c r="F54" s="73"/>
      <c r="G54" s="73"/>
      <c r="H54" s="23">
        <v>500</v>
      </c>
      <c r="I54" s="27"/>
      <c r="J54" s="24">
        <f t="shared" si="4"/>
        <v>46568.4</v>
      </c>
      <c r="K54" s="24">
        <f t="shared" si="5"/>
        <v>36441.78</v>
      </c>
    </row>
    <row r="55" spans="2:11" ht="15.75" thickBot="1" x14ac:dyDescent="0.3">
      <c r="B55" s="31">
        <v>42594</v>
      </c>
      <c r="C55" s="25" t="s">
        <v>790</v>
      </c>
      <c r="D55" s="73"/>
      <c r="E55" s="73"/>
      <c r="F55" s="73"/>
      <c r="G55" s="28"/>
      <c r="H55" s="23">
        <v>500</v>
      </c>
      <c r="I55" s="27"/>
      <c r="J55" s="24">
        <f t="shared" si="4"/>
        <v>46568.4</v>
      </c>
      <c r="K55" s="24">
        <f t="shared" si="5"/>
        <v>35941.78</v>
      </c>
    </row>
    <row r="56" spans="2:11" ht="15.75" thickBot="1" x14ac:dyDescent="0.3">
      <c r="B56" s="13"/>
      <c r="C56" s="16" t="s">
        <v>0</v>
      </c>
      <c r="D56" s="105">
        <f>SUM(D4:D47)</f>
        <v>22325</v>
      </c>
      <c r="E56" s="103">
        <f>SUM(E4:E47)</f>
        <v>0</v>
      </c>
      <c r="F56" s="114">
        <f>SUM(D56:E56)</f>
        <v>22325</v>
      </c>
      <c r="G56" s="126">
        <f>SUM(G4:G47)</f>
        <v>0</v>
      </c>
      <c r="H56" s="105">
        <f>SUM(H4:H55)</f>
        <v>26929.47</v>
      </c>
      <c r="I56" s="114">
        <f>SUM(G56:H56)</f>
        <v>26929.47</v>
      </c>
      <c r="J56" s="33">
        <v>46568.4</v>
      </c>
      <c r="K56" s="33"/>
    </row>
    <row r="57" spans="2:11" ht="15.75" thickBot="1" x14ac:dyDescent="0.3"/>
    <row r="58" spans="2:11" x14ac:dyDescent="0.25">
      <c r="B58" s="111" t="s">
        <v>1</v>
      </c>
      <c r="C58" s="111" t="s">
        <v>2</v>
      </c>
      <c r="D58" s="111" t="s">
        <v>3</v>
      </c>
      <c r="E58" s="111" t="s">
        <v>3</v>
      </c>
      <c r="F58" s="111" t="s">
        <v>323</v>
      </c>
      <c r="G58" s="111" t="s">
        <v>324</v>
      </c>
      <c r="H58" s="81" t="s">
        <v>324</v>
      </c>
      <c r="I58" s="81" t="s">
        <v>323</v>
      </c>
      <c r="J58" s="111" t="s">
        <v>174</v>
      </c>
      <c r="K58" s="81" t="s">
        <v>173</v>
      </c>
    </row>
    <row r="59" spans="2:11" ht="15.75" thickBot="1" x14ac:dyDescent="0.3">
      <c r="B59" s="112"/>
      <c r="C59" s="112"/>
      <c r="D59" s="112" t="s">
        <v>6</v>
      </c>
      <c r="E59" s="112" t="s">
        <v>325</v>
      </c>
      <c r="F59" s="112" t="s">
        <v>3</v>
      </c>
      <c r="G59" s="112" t="s">
        <v>325</v>
      </c>
      <c r="H59" s="113" t="s">
        <v>6</v>
      </c>
      <c r="I59" s="113" t="s">
        <v>5</v>
      </c>
      <c r="J59" s="112"/>
      <c r="K59" s="113"/>
    </row>
    <row r="60" spans="2:11" ht="15.75" thickBot="1" x14ac:dyDescent="0.3">
      <c r="B60" s="13"/>
      <c r="C60" s="16"/>
      <c r="D60" s="105">
        <v>22325</v>
      </c>
      <c r="E60" s="103">
        <v>0</v>
      </c>
      <c r="F60" s="114">
        <f>SUM(D60:E60)</f>
        <v>22325</v>
      </c>
      <c r="G60" s="126">
        <v>0</v>
      </c>
      <c r="H60" s="105">
        <v>26929.47</v>
      </c>
      <c r="I60" s="114">
        <f>SUM(G60:H60)</f>
        <v>26929.47</v>
      </c>
      <c r="J60" s="33">
        <v>46568.4</v>
      </c>
      <c r="K60" s="24">
        <v>35941.78</v>
      </c>
    </row>
    <row r="61" spans="2:11" x14ac:dyDescent="0.25">
      <c r="B61" s="31">
        <v>42594</v>
      </c>
      <c r="C61" s="25" t="s">
        <v>791</v>
      </c>
      <c r="D61" s="73"/>
      <c r="E61" s="73"/>
      <c r="F61" s="73"/>
      <c r="G61" s="73"/>
      <c r="H61" s="23">
        <v>100</v>
      </c>
      <c r="I61" s="27"/>
      <c r="J61" s="24">
        <f>+J60+E61-G61</f>
        <v>46568.4</v>
      </c>
      <c r="K61" s="24">
        <f t="shared" ref="K61" si="6">+K60+D61-H61</f>
        <v>35841.78</v>
      </c>
    </row>
    <row r="62" spans="2:11" x14ac:dyDescent="0.25">
      <c r="B62" s="31">
        <v>42595</v>
      </c>
      <c r="C62" s="21" t="s">
        <v>792</v>
      </c>
      <c r="D62" s="23"/>
      <c r="E62" s="23"/>
      <c r="F62" s="23"/>
      <c r="G62" s="23"/>
      <c r="H62" s="92">
        <v>300</v>
      </c>
      <c r="I62" s="27"/>
      <c r="J62" s="24">
        <f t="shared" ref="J62" si="7">+J61+E62-G62</f>
        <v>46568.4</v>
      </c>
      <c r="K62" s="24">
        <f>+K61+D62-H62</f>
        <v>35541.78</v>
      </c>
    </row>
    <row r="63" spans="2:11" x14ac:dyDescent="0.25">
      <c r="B63" s="31">
        <v>42596</v>
      </c>
      <c r="C63" s="21" t="s">
        <v>803</v>
      </c>
      <c r="D63" s="23">
        <v>20500</v>
      </c>
      <c r="E63" s="23"/>
      <c r="F63" s="23"/>
      <c r="G63" s="23"/>
      <c r="H63" s="92"/>
      <c r="I63" s="27"/>
      <c r="J63" s="24">
        <f t="shared" ref="J63:J112" si="8">+J62+E63-G63</f>
        <v>46568.4</v>
      </c>
      <c r="K63" s="24">
        <f t="shared" ref="K63:K112" si="9">+K62+D63-H63</f>
        <v>56041.78</v>
      </c>
    </row>
    <row r="64" spans="2:11" x14ac:dyDescent="0.25">
      <c r="B64" s="31">
        <v>42596</v>
      </c>
      <c r="C64" s="21" t="s">
        <v>793</v>
      </c>
      <c r="D64" s="23"/>
      <c r="E64" s="23"/>
      <c r="F64" s="23"/>
      <c r="G64" s="23"/>
      <c r="H64" s="92">
        <v>120</v>
      </c>
      <c r="I64" s="27"/>
      <c r="J64" s="24">
        <f t="shared" si="8"/>
        <v>46568.4</v>
      </c>
      <c r="K64" s="24">
        <f t="shared" si="9"/>
        <v>55921.78</v>
      </c>
    </row>
    <row r="65" spans="2:12" x14ac:dyDescent="0.25">
      <c r="B65" s="31">
        <v>42596</v>
      </c>
      <c r="C65" s="21" t="s">
        <v>804</v>
      </c>
      <c r="D65" s="23"/>
      <c r="E65" s="23"/>
      <c r="F65" s="23"/>
      <c r="G65" s="23"/>
      <c r="H65" s="92">
        <v>63</v>
      </c>
      <c r="I65" s="27"/>
      <c r="J65" s="24">
        <f t="shared" si="8"/>
        <v>46568.4</v>
      </c>
      <c r="K65" s="24">
        <f t="shared" si="9"/>
        <v>55858.78</v>
      </c>
    </row>
    <row r="66" spans="2:12" x14ac:dyDescent="0.25">
      <c r="B66" s="31">
        <v>42596</v>
      </c>
      <c r="C66" s="25" t="s">
        <v>795</v>
      </c>
      <c r="D66" s="23"/>
      <c r="E66" s="23"/>
      <c r="F66" s="23"/>
      <c r="G66" s="23"/>
      <c r="H66" s="23">
        <v>450</v>
      </c>
      <c r="I66" s="27"/>
      <c r="J66" s="24">
        <f t="shared" si="8"/>
        <v>46568.4</v>
      </c>
      <c r="K66" s="24">
        <f t="shared" si="9"/>
        <v>55408.78</v>
      </c>
    </row>
    <row r="67" spans="2:12" x14ac:dyDescent="0.25">
      <c r="B67" s="31">
        <v>42596</v>
      </c>
      <c r="C67" s="25" t="s">
        <v>796</v>
      </c>
      <c r="D67" s="23"/>
      <c r="E67" s="23"/>
      <c r="F67" s="23"/>
      <c r="G67" s="23"/>
      <c r="H67" s="23">
        <v>500</v>
      </c>
      <c r="I67" s="27"/>
      <c r="J67" s="24">
        <f t="shared" si="8"/>
        <v>46568.4</v>
      </c>
      <c r="K67" s="24">
        <f t="shared" si="9"/>
        <v>54908.78</v>
      </c>
    </row>
    <row r="68" spans="2:12" x14ac:dyDescent="0.25">
      <c r="B68" s="31">
        <v>42596</v>
      </c>
      <c r="C68" s="25" t="s">
        <v>797</v>
      </c>
      <c r="D68" s="23"/>
      <c r="E68" s="23"/>
      <c r="F68" s="23"/>
      <c r="G68" s="23"/>
      <c r="H68" s="23">
        <v>50</v>
      </c>
      <c r="I68" s="27"/>
      <c r="J68" s="24">
        <f t="shared" si="8"/>
        <v>46568.4</v>
      </c>
      <c r="K68" s="24">
        <f t="shared" si="9"/>
        <v>54858.78</v>
      </c>
    </row>
    <row r="69" spans="2:12" x14ac:dyDescent="0.25">
      <c r="B69" s="31">
        <v>42596</v>
      </c>
      <c r="C69" s="25" t="s">
        <v>794</v>
      </c>
      <c r="D69" s="23"/>
      <c r="E69" s="23"/>
      <c r="F69" s="23"/>
      <c r="G69" s="23"/>
      <c r="H69" s="23">
        <v>119</v>
      </c>
      <c r="I69" s="27"/>
      <c r="J69" s="24">
        <f t="shared" si="8"/>
        <v>46568.4</v>
      </c>
      <c r="K69" s="24">
        <f t="shared" si="9"/>
        <v>54739.78</v>
      </c>
    </row>
    <row r="70" spans="2:12" x14ac:dyDescent="0.25">
      <c r="B70" s="31">
        <v>42597</v>
      </c>
      <c r="C70" s="25" t="s">
        <v>801</v>
      </c>
      <c r="D70" s="23"/>
      <c r="E70" s="23"/>
      <c r="F70" s="23"/>
      <c r="G70" s="23"/>
      <c r="H70" s="23">
        <v>450</v>
      </c>
      <c r="I70" s="27"/>
      <c r="J70" s="24">
        <f t="shared" si="8"/>
        <v>46568.4</v>
      </c>
      <c r="K70" s="24">
        <f t="shared" si="9"/>
        <v>54289.78</v>
      </c>
    </row>
    <row r="71" spans="2:12" x14ac:dyDescent="0.25">
      <c r="B71" s="31">
        <v>42597</v>
      </c>
      <c r="C71" s="25" t="s">
        <v>798</v>
      </c>
      <c r="D71" s="23"/>
      <c r="E71" s="23"/>
      <c r="F71" s="23"/>
      <c r="G71" s="23"/>
      <c r="H71" s="23">
        <v>2700</v>
      </c>
      <c r="I71" s="27"/>
      <c r="J71" s="24">
        <f t="shared" si="8"/>
        <v>46568.4</v>
      </c>
      <c r="K71" s="24">
        <f t="shared" si="9"/>
        <v>51589.78</v>
      </c>
    </row>
    <row r="72" spans="2:12" x14ac:dyDescent="0.25">
      <c r="B72" s="31">
        <v>42597</v>
      </c>
      <c r="C72" s="25" t="s">
        <v>799</v>
      </c>
      <c r="D72" s="23"/>
      <c r="E72" s="23"/>
      <c r="F72" s="23"/>
      <c r="G72" s="23"/>
      <c r="H72" s="23">
        <v>26000</v>
      </c>
      <c r="I72" s="27"/>
      <c r="J72" s="24">
        <f t="shared" si="8"/>
        <v>46568.4</v>
      </c>
      <c r="K72" s="24">
        <f t="shared" si="9"/>
        <v>25589.78</v>
      </c>
    </row>
    <row r="73" spans="2:12" x14ac:dyDescent="0.25">
      <c r="B73" s="31">
        <v>42597</v>
      </c>
      <c r="C73" s="25" t="s">
        <v>800</v>
      </c>
      <c r="D73" s="23"/>
      <c r="E73" s="23"/>
      <c r="F73" s="23"/>
      <c r="G73" s="23"/>
      <c r="H73" s="23">
        <v>4000</v>
      </c>
      <c r="I73" s="27"/>
      <c r="J73" s="24">
        <f t="shared" si="8"/>
        <v>46568.4</v>
      </c>
      <c r="K73" s="24">
        <f t="shared" si="9"/>
        <v>21589.78</v>
      </c>
      <c r="L73" s="1"/>
    </row>
    <row r="74" spans="2:12" x14ac:dyDescent="0.25">
      <c r="B74" s="31">
        <v>42599</v>
      </c>
      <c r="C74" s="62" t="s">
        <v>805</v>
      </c>
      <c r="D74" s="23"/>
      <c r="E74" s="23"/>
      <c r="F74" s="23"/>
      <c r="G74" s="23">
        <v>1760</v>
      </c>
      <c r="H74" s="23"/>
      <c r="I74" s="27"/>
      <c r="J74" s="24">
        <f t="shared" si="8"/>
        <v>44808.4</v>
      </c>
      <c r="K74" s="24">
        <f t="shared" si="9"/>
        <v>21589.78</v>
      </c>
      <c r="L74" s="1"/>
    </row>
    <row r="75" spans="2:12" x14ac:dyDescent="0.25">
      <c r="B75" s="31">
        <v>42599</v>
      </c>
      <c r="C75" s="60" t="s">
        <v>806</v>
      </c>
      <c r="D75" s="23"/>
      <c r="E75" s="23"/>
      <c r="F75" s="23"/>
      <c r="G75" s="23">
        <v>1224</v>
      </c>
      <c r="H75" s="23"/>
      <c r="I75" s="27"/>
      <c r="J75" s="24">
        <f t="shared" si="8"/>
        <v>43584.4</v>
      </c>
      <c r="K75" s="24">
        <f t="shared" si="9"/>
        <v>21589.78</v>
      </c>
      <c r="L75" s="1"/>
    </row>
    <row r="76" spans="2:12" x14ac:dyDescent="0.25">
      <c r="B76" s="31">
        <v>42599</v>
      </c>
      <c r="C76" s="21" t="s">
        <v>807</v>
      </c>
      <c r="D76" s="23"/>
      <c r="E76" s="23"/>
      <c r="F76" s="23"/>
      <c r="G76" s="23"/>
      <c r="H76" s="23">
        <v>200</v>
      </c>
      <c r="I76" s="27"/>
      <c r="J76" s="24">
        <f t="shared" si="8"/>
        <v>43584.4</v>
      </c>
      <c r="K76" s="24">
        <f t="shared" si="9"/>
        <v>21389.78</v>
      </c>
    </row>
    <row r="77" spans="2:12" x14ac:dyDescent="0.25">
      <c r="B77" s="31">
        <v>42599</v>
      </c>
      <c r="C77" s="21" t="s">
        <v>808</v>
      </c>
      <c r="D77" s="23"/>
      <c r="E77" s="23"/>
      <c r="F77" s="23"/>
      <c r="G77" s="23"/>
      <c r="H77" s="23">
        <v>120</v>
      </c>
      <c r="I77" s="27"/>
      <c r="J77" s="24">
        <f t="shared" si="8"/>
        <v>43584.4</v>
      </c>
      <c r="K77" s="24">
        <f t="shared" si="9"/>
        <v>21269.78</v>
      </c>
    </row>
    <row r="78" spans="2:12" x14ac:dyDescent="0.25">
      <c r="B78" s="31">
        <v>42599</v>
      </c>
      <c r="C78" s="21" t="s">
        <v>809</v>
      </c>
      <c r="D78" s="23"/>
      <c r="E78" s="23"/>
      <c r="F78" s="23"/>
      <c r="G78" s="23"/>
      <c r="H78" s="23">
        <v>960</v>
      </c>
      <c r="I78" s="27"/>
      <c r="J78" s="24">
        <f t="shared" si="8"/>
        <v>43584.4</v>
      </c>
      <c r="K78" s="24">
        <f t="shared" si="9"/>
        <v>20309.78</v>
      </c>
    </row>
    <row r="79" spans="2:12" x14ac:dyDescent="0.25">
      <c r="B79" s="31">
        <v>42599</v>
      </c>
      <c r="C79" s="62" t="s">
        <v>810</v>
      </c>
      <c r="D79" s="23"/>
      <c r="E79" s="23"/>
      <c r="F79" s="23"/>
      <c r="G79" s="23"/>
      <c r="H79" s="23">
        <v>279.2</v>
      </c>
      <c r="I79" s="27"/>
      <c r="J79" s="24">
        <f t="shared" si="8"/>
        <v>43584.4</v>
      </c>
      <c r="K79" s="24">
        <f t="shared" si="9"/>
        <v>20030.579999999998</v>
      </c>
    </row>
    <row r="80" spans="2:12" x14ac:dyDescent="0.25">
      <c r="B80" s="31">
        <v>42600</v>
      </c>
      <c r="C80" s="60" t="s">
        <v>811</v>
      </c>
      <c r="D80" s="23"/>
      <c r="E80" s="23"/>
      <c r="F80" s="23"/>
      <c r="G80" s="23"/>
      <c r="H80" s="23">
        <v>287</v>
      </c>
      <c r="I80" s="27"/>
      <c r="J80" s="24">
        <f t="shared" si="8"/>
        <v>43584.4</v>
      </c>
      <c r="K80" s="24">
        <f t="shared" si="9"/>
        <v>19743.579999999998</v>
      </c>
    </row>
    <row r="81" spans="2:11" x14ac:dyDescent="0.25">
      <c r="B81" s="31">
        <v>42600</v>
      </c>
      <c r="C81" s="62" t="s">
        <v>812</v>
      </c>
      <c r="D81" s="23"/>
      <c r="E81" s="23"/>
      <c r="F81" s="23"/>
      <c r="G81" s="23"/>
      <c r="H81" s="23">
        <v>700</v>
      </c>
      <c r="I81" s="27"/>
      <c r="J81" s="24">
        <f t="shared" si="8"/>
        <v>43584.4</v>
      </c>
      <c r="K81" s="24">
        <f t="shared" si="9"/>
        <v>19043.579999999998</v>
      </c>
    </row>
    <row r="82" spans="2:11" x14ac:dyDescent="0.25">
      <c r="B82" s="31">
        <v>42600</v>
      </c>
      <c r="C82" s="60" t="s">
        <v>813</v>
      </c>
      <c r="D82" s="23"/>
      <c r="E82" s="23"/>
      <c r="F82" s="23"/>
      <c r="G82" s="23"/>
      <c r="H82" s="23">
        <v>700</v>
      </c>
      <c r="I82" s="27"/>
      <c r="J82" s="24">
        <f t="shared" si="8"/>
        <v>43584.4</v>
      </c>
      <c r="K82" s="24">
        <f t="shared" si="9"/>
        <v>18343.579999999998</v>
      </c>
    </row>
    <row r="83" spans="2:11" x14ac:dyDescent="0.25">
      <c r="B83" s="31">
        <v>42600</v>
      </c>
      <c r="C83" s="21" t="s">
        <v>814</v>
      </c>
      <c r="D83" s="23"/>
      <c r="E83" s="23"/>
      <c r="F83" s="23"/>
      <c r="G83" s="23"/>
      <c r="H83" s="23">
        <v>200</v>
      </c>
      <c r="I83" s="27"/>
      <c r="J83" s="24">
        <f t="shared" si="8"/>
        <v>43584.4</v>
      </c>
      <c r="K83" s="24">
        <f t="shared" si="9"/>
        <v>18143.579999999998</v>
      </c>
    </row>
    <row r="84" spans="2:11" x14ac:dyDescent="0.25">
      <c r="B84" s="31">
        <v>42601</v>
      </c>
      <c r="C84" s="21" t="s">
        <v>815</v>
      </c>
      <c r="D84" s="23"/>
      <c r="E84" s="23"/>
      <c r="F84" s="23"/>
      <c r="G84" s="23">
        <v>950</v>
      </c>
      <c r="H84" s="23"/>
      <c r="I84" s="27"/>
      <c r="J84" s="24">
        <f t="shared" si="8"/>
        <v>42634.400000000001</v>
      </c>
      <c r="K84" s="24">
        <f t="shared" si="9"/>
        <v>18143.579999999998</v>
      </c>
    </row>
    <row r="85" spans="2:11" x14ac:dyDescent="0.25">
      <c r="B85" s="31">
        <v>42601</v>
      </c>
      <c r="C85" s="21" t="s">
        <v>816</v>
      </c>
      <c r="D85" s="23"/>
      <c r="E85" s="23"/>
      <c r="F85" s="23"/>
      <c r="G85" s="23"/>
      <c r="H85" s="23">
        <v>1000</v>
      </c>
      <c r="I85" s="27"/>
      <c r="J85" s="24">
        <f t="shared" si="8"/>
        <v>42634.400000000001</v>
      </c>
      <c r="K85" s="24">
        <f t="shared" si="9"/>
        <v>17143.579999999998</v>
      </c>
    </row>
    <row r="86" spans="2:11" x14ac:dyDescent="0.25">
      <c r="B86" s="31">
        <v>42601</v>
      </c>
      <c r="C86" s="21" t="s">
        <v>817</v>
      </c>
      <c r="D86" s="23"/>
      <c r="E86" s="23"/>
      <c r="F86" s="23"/>
      <c r="G86" s="23"/>
      <c r="H86" s="23">
        <v>1264</v>
      </c>
      <c r="I86" s="27"/>
      <c r="J86" s="24">
        <f t="shared" si="8"/>
        <v>42634.400000000001</v>
      </c>
      <c r="K86" s="24">
        <f t="shared" si="9"/>
        <v>15879.579999999998</v>
      </c>
    </row>
    <row r="87" spans="2:11" x14ac:dyDescent="0.25">
      <c r="B87" s="31">
        <v>42601</v>
      </c>
      <c r="C87" s="21" t="s">
        <v>818</v>
      </c>
      <c r="D87" s="23"/>
      <c r="E87" s="23"/>
      <c r="F87" s="23"/>
      <c r="G87" s="23"/>
      <c r="H87" s="23">
        <v>500</v>
      </c>
      <c r="I87" s="27"/>
      <c r="J87" s="24">
        <f t="shared" si="8"/>
        <v>42634.400000000001</v>
      </c>
      <c r="K87" s="24">
        <f t="shared" si="9"/>
        <v>15379.579999999998</v>
      </c>
    </row>
    <row r="88" spans="2:11" x14ac:dyDescent="0.25">
      <c r="B88" s="31">
        <v>42601</v>
      </c>
      <c r="C88" s="25" t="s">
        <v>819</v>
      </c>
      <c r="D88" s="73"/>
      <c r="E88" s="73"/>
      <c r="F88" s="73"/>
      <c r="G88" s="73"/>
      <c r="H88" s="23">
        <v>270</v>
      </c>
      <c r="I88" s="27"/>
      <c r="J88" s="24">
        <f t="shared" si="8"/>
        <v>42634.400000000001</v>
      </c>
      <c r="K88" s="24">
        <f t="shared" si="9"/>
        <v>15109.579999999998</v>
      </c>
    </row>
    <row r="89" spans="2:11" x14ac:dyDescent="0.25">
      <c r="B89" s="31">
        <v>42602</v>
      </c>
      <c r="C89" s="25" t="s">
        <v>820</v>
      </c>
      <c r="D89" s="73"/>
      <c r="E89" s="73"/>
      <c r="F89" s="73"/>
      <c r="G89" s="28"/>
      <c r="H89" s="23">
        <v>279.2</v>
      </c>
      <c r="I89" s="27"/>
      <c r="J89" s="24">
        <f t="shared" si="8"/>
        <v>42634.400000000001</v>
      </c>
      <c r="K89" s="24">
        <f t="shared" si="9"/>
        <v>14830.379999999997</v>
      </c>
    </row>
    <row r="90" spans="2:11" x14ac:dyDescent="0.25">
      <c r="B90" s="31">
        <v>42603</v>
      </c>
      <c r="C90" s="25" t="s">
        <v>836</v>
      </c>
      <c r="D90" s="73">
        <v>24850</v>
      </c>
      <c r="E90" s="73"/>
      <c r="F90" s="73"/>
      <c r="G90" s="28"/>
      <c r="H90" s="23"/>
      <c r="I90" s="27"/>
      <c r="J90" s="24">
        <f t="shared" si="8"/>
        <v>42634.400000000001</v>
      </c>
      <c r="K90" s="24">
        <f t="shared" si="9"/>
        <v>39680.379999999997</v>
      </c>
    </row>
    <row r="91" spans="2:11" x14ac:dyDescent="0.25">
      <c r="B91" s="31">
        <v>42603</v>
      </c>
      <c r="C91" s="25" t="s">
        <v>756</v>
      </c>
      <c r="D91" s="73"/>
      <c r="E91" s="73"/>
      <c r="F91" s="73"/>
      <c r="G91" s="73"/>
      <c r="H91" s="23">
        <v>81.5</v>
      </c>
      <c r="I91" s="27"/>
      <c r="J91" s="24">
        <f t="shared" si="8"/>
        <v>42634.400000000001</v>
      </c>
      <c r="K91" s="24">
        <f t="shared" si="9"/>
        <v>39598.879999999997</v>
      </c>
    </row>
    <row r="92" spans="2:11" x14ac:dyDescent="0.25">
      <c r="B92" s="31">
        <v>42603</v>
      </c>
      <c r="C92" s="21" t="s">
        <v>821</v>
      </c>
      <c r="D92" s="23"/>
      <c r="E92" s="23"/>
      <c r="F92" s="23"/>
      <c r="G92" s="23"/>
      <c r="H92" s="23">
        <v>89</v>
      </c>
      <c r="I92" s="27"/>
      <c r="J92" s="24">
        <f t="shared" si="8"/>
        <v>42634.400000000001</v>
      </c>
      <c r="K92" s="24">
        <f t="shared" si="9"/>
        <v>39509.879999999997</v>
      </c>
    </row>
    <row r="93" spans="2:11" x14ac:dyDescent="0.25">
      <c r="B93" s="31">
        <v>42603</v>
      </c>
      <c r="C93" s="21" t="s">
        <v>793</v>
      </c>
      <c r="D93" s="23"/>
      <c r="E93" s="23"/>
      <c r="F93" s="23"/>
      <c r="G93" s="23"/>
      <c r="H93" s="23">
        <v>120</v>
      </c>
      <c r="I93" s="27"/>
      <c r="J93" s="24">
        <f t="shared" si="8"/>
        <v>42634.400000000001</v>
      </c>
      <c r="K93" s="24">
        <f t="shared" si="9"/>
        <v>39389.879999999997</v>
      </c>
    </row>
    <row r="94" spans="2:11" x14ac:dyDescent="0.25">
      <c r="B94" s="31">
        <v>42603</v>
      </c>
      <c r="C94" s="21" t="s">
        <v>822</v>
      </c>
      <c r="D94" s="23"/>
      <c r="E94" s="23"/>
      <c r="F94" s="23"/>
      <c r="G94" s="23"/>
      <c r="H94" s="23">
        <v>400</v>
      </c>
      <c r="I94" s="27"/>
      <c r="J94" s="24">
        <f t="shared" si="8"/>
        <v>42634.400000000001</v>
      </c>
      <c r="K94" s="24">
        <f t="shared" si="9"/>
        <v>38989.879999999997</v>
      </c>
    </row>
    <row r="95" spans="2:11" x14ac:dyDescent="0.25">
      <c r="B95" s="31">
        <v>42603</v>
      </c>
      <c r="C95" s="21" t="s">
        <v>823</v>
      </c>
      <c r="D95" s="23"/>
      <c r="E95" s="23"/>
      <c r="F95" s="23"/>
      <c r="G95" s="23"/>
      <c r="H95" s="23">
        <v>150</v>
      </c>
      <c r="I95" s="27"/>
      <c r="J95" s="24">
        <f t="shared" si="8"/>
        <v>42634.400000000001</v>
      </c>
      <c r="K95" s="24">
        <f t="shared" si="9"/>
        <v>38839.879999999997</v>
      </c>
    </row>
    <row r="96" spans="2:11" x14ac:dyDescent="0.25">
      <c r="B96" s="31">
        <v>42603</v>
      </c>
      <c r="C96" s="21" t="s">
        <v>824</v>
      </c>
      <c r="D96" s="23"/>
      <c r="E96" s="23"/>
      <c r="F96" s="23"/>
      <c r="G96" s="23"/>
      <c r="H96" s="23">
        <v>150</v>
      </c>
      <c r="I96" s="27"/>
      <c r="J96" s="24">
        <f t="shared" si="8"/>
        <v>42634.400000000001</v>
      </c>
      <c r="K96" s="24">
        <f t="shared" si="9"/>
        <v>38689.879999999997</v>
      </c>
    </row>
    <row r="97" spans="2:15" x14ac:dyDescent="0.25">
      <c r="B97" s="31">
        <v>42604</v>
      </c>
      <c r="C97" s="21" t="s">
        <v>825</v>
      </c>
      <c r="D97" s="23"/>
      <c r="E97" s="23"/>
      <c r="F97" s="23"/>
      <c r="G97" s="23"/>
      <c r="H97" s="23">
        <v>300</v>
      </c>
      <c r="I97" s="27"/>
      <c r="J97" s="24">
        <f t="shared" si="8"/>
        <v>42634.400000000001</v>
      </c>
      <c r="K97" s="24">
        <f t="shared" si="9"/>
        <v>38389.879999999997</v>
      </c>
    </row>
    <row r="98" spans="2:15" x14ac:dyDescent="0.25">
      <c r="B98" s="31">
        <v>42604</v>
      </c>
      <c r="C98" s="21" t="s">
        <v>826</v>
      </c>
      <c r="D98" s="23"/>
      <c r="E98" s="23"/>
      <c r="F98" s="23"/>
      <c r="G98" s="23"/>
      <c r="H98" s="23">
        <v>400</v>
      </c>
      <c r="I98" s="27"/>
      <c r="J98" s="24">
        <f t="shared" si="8"/>
        <v>42634.400000000001</v>
      </c>
      <c r="K98" s="24">
        <f t="shared" si="9"/>
        <v>37989.879999999997</v>
      </c>
    </row>
    <row r="99" spans="2:15" x14ac:dyDescent="0.25">
      <c r="B99" s="31">
        <v>42604</v>
      </c>
      <c r="C99" s="21" t="s">
        <v>827</v>
      </c>
      <c r="D99" s="23"/>
      <c r="E99" s="23"/>
      <c r="F99" s="23"/>
      <c r="G99" s="23"/>
      <c r="H99" s="23">
        <v>1700</v>
      </c>
      <c r="I99" s="27"/>
      <c r="J99" s="24">
        <f t="shared" si="8"/>
        <v>42634.400000000001</v>
      </c>
      <c r="K99" s="24">
        <f t="shared" si="9"/>
        <v>36289.879999999997</v>
      </c>
    </row>
    <row r="100" spans="2:15" x14ac:dyDescent="0.25">
      <c r="B100" s="31">
        <v>42606</v>
      </c>
      <c r="C100" s="21" t="s">
        <v>828</v>
      </c>
      <c r="D100" s="23"/>
      <c r="E100" s="23"/>
      <c r="F100" s="23"/>
      <c r="G100" s="23"/>
      <c r="H100" s="23">
        <v>400</v>
      </c>
      <c r="I100" s="27"/>
      <c r="J100" s="24">
        <f t="shared" si="8"/>
        <v>42634.400000000001</v>
      </c>
      <c r="K100" s="24">
        <f t="shared" si="9"/>
        <v>35889.879999999997</v>
      </c>
    </row>
    <row r="101" spans="2:15" x14ac:dyDescent="0.25">
      <c r="B101" s="31">
        <v>42606</v>
      </c>
      <c r="C101" s="21" t="s">
        <v>829</v>
      </c>
      <c r="D101" s="23"/>
      <c r="E101" s="23"/>
      <c r="F101" s="23"/>
      <c r="G101" s="23"/>
      <c r="H101" s="23">
        <v>243</v>
      </c>
      <c r="I101" s="27"/>
      <c r="J101" s="24">
        <f t="shared" si="8"/>
        <v>42634.400000000001</v>
      </c>
      <c r="K101" s="24">
        <f t="shared" si="9"/>
        <v>35646.879999999997</v>
      </c>
    </row>
    <row r="102" spans="2:15" x14ac:dyDescent="0.25">
      <c r="B102" s="31">
        <v>42606</v>
      </c>
      <c r="C102" s="21" t="s">
        <v>830</v>
      </c>
      <c r="D102" s="23"/>
      <c r="E102" s="23"/>
      <c r="F102" s="23"/>
      <c r="G102" s="23"/>
      <c r="H102" s="23">
        <v>200</v>
      </c>
      <c r="I102" s="27"/>
      <c r="J102" s="24">
        <f t="shared" si="8"/>
        <v>42634.400000000001</v>
      </c>
      <c r="K102" s="24">
        <f t="shared" si="9"/>
        <v>35446.879999999997</v>
      </c>
    </row>
    <row r="103" spans="2:15" x14ac:dyDescent="0.25">
      <c r="B103" s="31">
        <v>42607</v>
      </c>
      <c r="C103" s="21" t="s">
        <v>837</v>
      </c>
      <c r="D103" s="23"/>
      <c r="E103" s="23"/>
      <c r="F103" s="23"/>
      <c r="G103" s="23">
        <v>2000</v>
      </c>
      <c r="H103" s="23"/>
      <c r="I103" s="27"/>
      <c r="J103" s="24">
        <f t="shared" si="8"/>
        <v>40634.400000000001</v>
      </c>
      <c r="K103" s="24">
        <f t="shared" si="9"/>
        <v>35446.879999999997</v>
      </c>
    </row>
    <row r="104" spans="2:15" x14ac:dyDescent="0.25">
      <c r="B104" s="31">
        <v>42607</v>
      </c>
      <c r="C104" s="21" t="s">
        <v>831</v>
      </c>
      <c r="D104" s="23"/>
      <c r="E104" s="23"/>
      <c r="F104" s="23"/>
      <c r="G104" s="23">
        <v>3000</v>
      </c>
      <c r="H104" s="23"/>
      <c r="I104" s="27"/>
      <c r="J104" s="24">
        <f t="shared" si="8"/>
        <v>37634.400000000001</v>
      </c>
      <c r="K104" s="24">
        <f t="shared" si="9"/>
        <v>35446.879999999997</v>
      </c>
    </row>
    <row r="105" spans="2:15" x14ac:dyDescent="0.25">
      <c r="B105" s="31">
        <v>42607</v>
      </c>
      <c r="C105" s="21" t="s">
        <v>832</v>
      </c>
      <c r="D105" s="23"/>
      <c r="E105" s="23"/>
      <c r="F105" s="23"/>
      <c r="G105" s="23"/>
      <c r="H105" s="23">
        <v>29000</v>
      </c>
      <c r="I105" s="27"/>
      <c r="J105" s="24">
        <f t="shared" si="8"/>
        <v>37634.400000000001</v>
      </c>
      <c r="K105" s="24">
        <f t="shared" si="9"/>
        <v>6446.8799999999974</v>
      </c>
    </row>
    <row r="106" spans="2:15" x14ac:dyDescent="0.25">
      <c r="B106" s="31">
        <v>42607</v>
      </c>
      <c r="C106" s="21" t="s">
        <v>833</v>
      </c>
      <c r="D106" s="23"/>
      <c r="E106" s="23"/>
      <c r="F106" s="23"/>
      <c r="G106" s="23"/>
      <c r="H106" s="23">
        <v>300</v>
      </c>
      <c r="I106" s="27"/>
      <c r="J106" s="24">
        <f t="shared" si="8"/>
        <v>37634.400000000001</v>
      </c>
      <c r="K106" s="24">
        <f t="shared" si="9"/>
        <v>6146.8799999999974</v>
      </c>
    </row>
    <row r="107" spans="2:15" x14ac:dyDescent="0.25">
      <c r="B107" s="31">
        <v>42607</v>
      </c>
      <c r="C107" s="21" t="s">
        <v>834</v>
      </c>
      <c r="D107" s="23"/>
      <c r="E107" s="23"/>
      <c r="F107" s="23"/>
      <c r="G107" s="23"/>
      <c r="H107" s="23">
        <v>1998</v>
      </c>
      <c r="I107" s="27"/>
      <c r="J107" s="24">
        <f t="shared" si="8"/>
        <v>37634.400000000001</v>
      </c>
      <c r="K107" s="24">
        <f t="shared" si="9"/>
        <v>4148.8799999999974</v>
      </c>
    </row>
    <row r="108" spans="2:15" x14ac:dyDescent="0.25">
      <c r="B108" s="31">
        <v>42608</v>
      </c>
      <c r="C108" s="21" t="s">
        <v>835</v>
      </c>
      <c r="D108" s="23"/>
      <c r="E108" s="23"/>
      <c r="F108" s="23"/>
      <c r="G108" s="23"/>
      <c r="H108" s="23">
        <v>270</v>
      </c>
      <c r="I108" s="27"/>
      <c r="J108" s="24">
        <f t="shared" si="8"/>
        <v>37634.400000000001</v>
      </c>
      <c r="K108" s="24">
        <f t="shared" si="9"/>
        <v>3878.8799999999974</v>
      </c>
      <c r="L108" s="1"/>
      <c r="M108" s="1"/>
      <c r="N108" s="1"/>
    </row>
    <row r="109" spans="2:15" x14ac:dyDescent="0.25">
      <c r="B109" s="31">
        <v>42608</v>
      </c>
      <c r="C109" s="21" t="s">
        <v>838</v>
      </c>
      <c r="D109" s="23"/>
      <c r="E109" s="23"/>
      <c r="F109" s="23"/>
      <c r="G109" s="23"/>
      <c r="H109" s="23">
        <v>25</v>
      </c>
      <c r="I109" s="27"/>
      <c r="J109" s="24">
        <f t="shared" si="8"/>
        <v>37634.400000000001</v>
      </c>
      <c r="K109" s="24">
        <f t="shared" si="9"/>
        <v>3853.8799999999974</v>
      </c>
      <c r="O109" s="1"/>
    </row>
    <row r="110" spans="2:15" x14ac:dyDescent="0.25">
      <c r="B110" s="31">
        <v>42608</v>
      </c>
      <c r="C110" s="21" t="s">
        <v>839</v>
      </c>
      <c r="D110" s="23"/>
      <c r="E110" s="23"/>
      <c r="F110" s="23"/>
      <c r="G110" s="23"/>
      <c r="H110" s="23">
        <v>15.6</v>
      </c>
      <c r="I110" s="27"/>
      <c r="J110" s="24">
        <f t="shared" si="8"/>
        <v>37634.400000000001</v>
      </c>
      <c r="K110" s="24">
        <f t="shared" si="9"/>
        <v>3838.2799999999975</v>
      </c>
    </row>
    <row r="111" spans="2:15" x14ac:dyDescent="0.25">
      <c r="B111" s="31">
        <v>42608</v>
      </c>
      <c r="C111" s="21" t="s">
        <v>840</v>
      </c>
      <c r="D111" s="23"/>
      <c r="E111" s="23"/>
      <c r="F111" s="23"/>
      <c r="G111" s="23"/>
      <c r="H111" s="23">
        <v>500</v>
      </c>
      <c r="I111" s="27"/>
      <c r="J111" s="24">
        <f t="shared" si="8"/>
        <v>37634.400000000001</v>
      </c>
      <c r="K111" s="24">
        <f t="shared" si="9"/>
        <v>3338.2799999999975</v>
      </c>
    </row>
    <row r="112" spans="2:15" ht="15.75" thickBot="1" x14ac:dyDescent="0.3">
      <c r="B112" s="31">
        <v>42608</v>
      </c>
      <c r="C112" s="21" t="s">
        <v>789</v>
      </c>
      <c r="D112" s="23"/>
      <c r="E112" s="23"/>
      <c r="F112" s="23"/>
      <c r="G112" s="23"/>
      <c r="H112" s="23">
        <v>500</v>
      </c>
      <c r="I112" s="27"/>
      <c r="J112" s="24">
        <f t="shared" si="8"/>
        <v>37634.400000000001</v>
      </c>
      <c r="K112" s="24">
        <f t="shared" si="9"/>
        <v>2838.2799999999975</v>
      </c>
    </row>
    <row r="113" spans="2:11" ht="15.75" thickBot="1" x14ac:dyDescent="0.3">
      <c r="B113" s="13"/>
      <c r="C113" s="16" t="s">
        <v>0</v>
      </c>
      <c r="D113" s="105">
        <f>SUM(D58:D112)</f>
        <v>67675</v>
      </c>
      <c r="E113" s="103">
        <f>SUM(E58:E112)</f>
        <v>0</v>
      </c>
      <c r="F113" s="114">
        <f>SUM(D113:E113)</f>
        <v>67675</v>
      </c>
      <c r="G113" s="126">
        <f>SUM(G60:G112)</f>
        <v>8934</v>
      </c>
      <c r="H113" s="105">
        <f>SUM(H58:H112)</f>
        <v>105382.97</v>
      </c>
      <c r="I113" s="114">
        <f>SUM(G113:H113)</f>
        <v>114316.97</v>
      </c>
      <c r="J113" s="33">
        <v>37634.400000000001</v>
      </c>
      <c r="K113" s="33">
        <v>2838.28</v>
      </c>
    </row>
    <row r="114" spans="2:11" ht="15.75" thickBot="1" x14ac:dyDescent="0.3"/>
    <row r="115" spans="2:11" x14ac:dyDescent="0.25">
      <c r="B115" s="111" t="s">
        <v>1</v>
      </c>
      <c r="C115" s="111" t="s">
        <v>2</v>
      </c>
      <c r="D115" s="111" t="s">
        <v>3</v>
      </c>
      <c r="E115" s="111" t="s">
        <v>3</v>
      </c>
      <c r="F115" s="111" t="s">
        <v>323</v>
      </c>
      <c r="G115" s="111" t="s">
        <v>324</v>
      </c>
      <c r="H115" s="81" t="s">
        <v>324</v>
      </c>
      <c r="I115" s="81" t="s">
        <v>323</v>
      </c>
      <c r="J115" s="111" t="s">
        <v>174</v>
      </c>
      <c r="K115" s="81" t="s">
        <v>173</v>
      </c>
    </row>
    <row r="116" spans="2:11" ht="15.75" thickBot="1" x14ac:dyDescent="0.3">
      <c r="B116" s="112"/>
      <c r="C116" s="112"/>
      <c r="D116" s="112" t="s">
        <v>6</v>
      </c>
      <c r="E116" s="112" t="s">
        <v>325</v>
      </c>
      <c r="F116" s="112" t="s">
        <v>3</v>
      </c>
      <c r="G116" s="112" t="s">
        <v>325</v>
      </c>
      <c r="H116" s="113" t="s">
        <v>6</v>
      </c>
      <c r="I116" s="113" t="s">
        <v>5</v>
      </c>
      <c r="J116" s="112"/>
      <c r="K116" s="113"/>
    </row>
    <row r="117" spans="2:11" ht="15.75" thickBot="1" x14ac:dyDescent="0.3">
      <c r="B117" s="13"/>
      <c r="C117" s="16" t="s">
        <v>0</v>
      </c>
      <c r="D117" s="105">
        <v>67675</v>
      </c>
      <c r="E117" s="103">
        <v>0</v>
      </c>
      <c r="F117" s="114">
        <f>SUM(D117:E117)</f>
        <v>67675</v>
      </c>
      <c r="G117" s="126">
        <v>8934</v>
      </c>
      <c r="H117" s="105">
        <v>105382.97</v>
      </c>
      <c r="I117" s="114">
        <f>SUM(G117:H117)</f>
        <v>114316.97</v>
      </c>
      <c r="J117" s="32">
        <v>37634.400000000001</v>
      </c>
      <c r="K117" s="32">
        <v>2838.28</v>
      </c>
    </row>
    <row r="118" spans="2:11" x14ac:dyDescent="0.25">
      <c r="B118" s="31">
        <v>42608</v>
      </c>
      <c r="C118" s="21" t="s">
        <v>841</v>
      </c>
      <c r="D118" s="23"/>
      <c r="E118" s="23"/>
      <c r="F118" s="23"/>
      <c r="G118" s="23"/>
      <c r="H118" s="23">
        <v>1000</v>
      </c>
      <c r="I118" s="27"/>
      <c r="J118" s="24">
        <f t="shared" ref="J118:J129" si="10">+J117+E118-G118</f>
        <v>37634.400000000001</v>
      </c>
      <c r="K118" s="24">
        <f>+K117+D118-H118</f>
        <v>1838.2800000000002</v>
      </c>
    </row>
    <row r="119" spans="2:11" x14ac:dyDescent="0.25">
      <c r="B119" s="31">
        <v>42608</v>
      </c>
      <c r="C119" s="21" t="s">
        <v>842</v>
      </c>
      <c r="D119" s="23"/>
      <c r="E119" s="23"/>
      <c r="F119" s="23"/>
      <c r="G119" s="23"/>
      <c r="H119" s="23">
        <v>50</v>
      </c>
      <c r="I119" s="27"/>
      <c r="J119" s="24">
        <f t="shared" si="10"/>
        <v>37634.400000000001</v>
      </c>
      <c r="K119" s="24">
        <f t="shared" ref="K119:K129" si="11">+K118+D119-H119</f>
        <v>1788.2800000000002</v>
      </c>
    </row>
    <row r="120" spans="2:11" x14ac:dyDescent="0.25">
      <c r="B120" s="31">
        <v>42609</v>
      </c>
      <c r="C120" s="21" t="s">
        <v>843</v>
      </c>
      <c r="D120" s="23"/>
      <c r="E120" s="23"/>
      <c r="F120" s="23"/>
      <c r="G120" s="23"/>
      <c r="H120" s="23">
        <v>50</v>
      </c>
      <c r="I120" s="27"/>
      <c r="J120" s="24">
        <f t="shared" si="10"/>
        <v>37634.400000000001</v>
      </c>
      <c r="K120" s="24">
        <f t="shared" si="11"/>
        <v>1738.2800000000002</v>
      </c>
    </row>
    <row r="121" spans="2:11" x14ac:dyDescent="0.25">
      <c r="B121" s="31">
        <v>42609</v>
      </c>
      <c r="C121" s="21" t="s">
        <v>844</v>
      </c>
      <c r="D121" s="23"/>
      <c r="E121" s="23"/>
      <c r="F121" s="23"/>
      <c r="G121" s="23"/>
      <c r="H121" s="23">
        <v>200</v>
      </c>
      <c r="I121" s="27"/>
      <c r="J121" s="24">
        <f t="shared" si="10"/>
        <v>37634.400000000001</v>
      </c>
      <c r="K121" s="24">
        <f t="shared" si="11"/>
        <v>1538.2800000000002</v>
      </c>
    </row>
    <row r="122" spans="2:11" x14ac:dyDescent="0.25">
      <c r="B122" s="31">
        <v>42609</v>
      </c>
      <c r="C122" s="21" t="s">
        <v>845</v>
      </c>
      <c r="D122" s="23"/>
      <c r="E122" s="23"/>
      <c r="F122" s="23"/>
      <c r="G122" s="23"/>
      <c r="H122" s="23">
        <v>300</v>
      </c>
      <c r="I122" s="27"/>
      <c r="J122" s="24">
        <f t="shared" si="10"/>
        <v>37634.400000000001</v>
      </c>
      <c r="K122" s="24">
        <f t="shared" si="11"/>
        <v>1238.2800000000002</v>
      </c>
    </row>
    <row r="123" spans="2:11" x14ac:dyDescent="0.25">
      <c r="B123" s="31">
        <v>42609</v>
      </c>
      <c r="C123" s="21" t="s">
        <v>849</v>
      </c>
      <c r="D123" s="23"/>
      <c r="E123" s="23"/>
      <c r="F123" s="23"/>
      <c r="G123" s="23"/>
      <c r="H123" s="23">
        <v>40</v>
      </c>
      <c r="I123" s="27"/>
      <c r="J123" s="24">
        <f t="shared" si="10"/>
        <v>37634.400000000001</v>
      </c>
      <c r="K123" s="24">
        <f t="shared" si="11"/>
        <v>1198.2800000000002</v>
      </c>
    </row>
    <row r="124" spans="2:11" x14ac:dyDescent="0.25">
      <c r="B124" s="31">
        <v>42609</v>
      </c>
      <c r="C124" s="21" t="s">
        <v>850</v>
      </c>
      <c r="D124" s="23"/>
      <c r="E124" s="23"/>
      <c r="F124" s="23"/>
      <c r="G124" s="23"/>
      <c r="H124" s="23">
        <v>23</v>
      </c>
      <c r="I124" s="27"/>
      <c r="J124" s="24">
        <f t="shared" si="10"/>
        <v>37634.400000000001</v>
      </c>
      <c r="K124" s="24">
        <f t="shared" si="11"/>
        <v>1175.2800000000002</v>
      </c>
    </row>
    <row r="125" spans="2:11" x14ac:dyDescent="0.25">
      <c r="B125" s="31">
        <v>42610</v>
      </c>
      <c r="C125" s="21" t="s">
        <v>846</v>
      </c>
      <c r="D125" s="23"/>
      <c r="E125" s="23"/>
      <c r="F125" s="23"/>
      <c r="G125" s="23"/>
      <c r="H125" s="23">
        <v>120</v>
      </c>
      <c r="I125" s="27"/>
      <c r="J125" s="24">
        <f t="shared" si="10"/>
        <v>37634.400000000001</v>
      </c>
      <c r="K125" s="24">
        <f t="shared" si="11"/>
        <v>1055.2800000000002</v>
      </c>
    </row>
    <row r="126" spans="2:11" x14ac:dyDescent="0.25">
      <c r="B126" s="31">
        <v>42610</v>
      </c>
      <c r="C126" s="21" t="s">
        <v>847</v>
      </c>
      <c r="D126" s="23"/>
      <c r="E126" s="23"/>
      <c r="F126" s="23"/>
      <c r="G126" s="23"/>
      <c r="H126" s="23">
        <v>200</v>
      </c>
      <c r="I126" s="27"/>
      <c r="J126" s="24">
        <f t="shared" si="10"/>
        <v>37634.400000000001</v>
      </c>
      <c r="K126" s="24">
        <f t="shared" si="11"/>
        <v>855.2800000000002</v>
      </c>
    </row>
    <row r="127" spans="2:11" x14ac:dyDescent="0.25">
      <c r="B127" s="31">
        <v>42610</v>
      </c>
      <c r="C127" s="21" t="s">
        <v>848</v>
      </c>
      <c r="D127" s="23"/>
      <c r="E127" s="23"/>
      <c r="F127" s="23"/>
      <c r="G127" s="23"/>
      <c r="H127" s="23">
        <v>799</v>
      </c>
      <c r="I127" s="27"/>
      <c r="J127" s="24">
        <f t="shared" si="10"/>
        <v>37634.400000000001</v>
      </c>
      <c r="K127" s="24">
        <f t="shared" si="11"/>
        <v>56.2800000000002</v>
      </c>
    </row>
    <row r="128" spans="2:11" x14ac:dyDescent="0.25">
      <c r="B128" s="31">
        <v>42610</v>
      </c>
      <c r="C128" s="21" t="s">
        <v>851</v>
      </c>
      <c r="D128" s="23"/>
      <c r="E128" s="23"/>
      <c r="F128" s="23"/>
      <c r="G128" s="23"/>
      <c r="H128" s="23">
        <v>120.5</v>
      </c>
      <c r="I128" s="27"/>
      <c r="J128" s="24">
        <f t="shared" si="10"/>
        <v>37634.400000000001</v>
      </c>
      <c r="K128" s="24">
        <f t="shared" si="11"/>
        <v>-64.2199999999998</v>
      </c>
    </row>
    <row r="129" spans="2:11" x14ac:dyDescent="0.25">
      <c r="B129" s="31">
        <v>42610</v>
      </c>
      <c r="C129" s="21" t="s">
        <v>852</v>
      </c>
      <c r="D129" s="23"/>
      <c r="E129" s="23"/>
      <c r="F129" s="23"/>
      <c r="G129" s="23"/>
      <c r="H129" s="23">
        <v>30</v>
      </c>
      <c r="I129" s="27"/>
      <c r="J129" s="24">
        <f t="shared" si="10"/>
        <v>37634.400000000001</v>
      </c>
      <c r="K129" s="24">
        <f t="shared" si="11"/>
        <v>-94.2199999999998</v>
      </c>
    </row>
    <row r="130" spans="2:11" x14ac:dyDescent="0.25">
      <c r="B130" s="31">
        <v>42610</v>
      </c>
      <c r="C130" s="21" t="s">
        <v>860</v>
      </c>
      <c r="D130" s="23">
        <v>27750</v>
      </c>
      <c r="E130" s="23"/>
      <c r="F130" s="23"/>
      <c r="G130" s="23"/>
      <c r="H130" s="23"/>
      <c r="I130" s="27"/>
      <c r="J130" s="24">
        <f t="shared" ref="J130:J146" si="12">+J129+E130-G130</f>
        <v>37634.400000000001</v>
      </c>
      <c r="K130" s="24">
        <f t="shared" ref="K130:K146" si="13">+K129+D130-H130</f>
        <v>27655.78</v>
      </c>
    </row>
    <row r="131" spans="2:11" x14ac:dyDescent="0.25">
      <c r="B131" s="31">
        <v>42611</v>
      </c>
      <c r="C131" s="21" t="s">
        <v>864</v>
      </c>
      <c r="D131" s="23"/>
      <c r="E131" s="23"/>
      <c r="F131" s="23"/>
      <c r="G131" s="23"/>
      <c r="H131" s="23">
        <v>450</v>
      </c>
      <c r="I131" s="27"/>
      <c r="J131" s="24">
        <f t="shared" si="12"/>
        <v>37634.400000000001</v>
      </c>
      <c r="K131" s="24">
        <f t="shared" si="13"/>
        <v>27205.78</v>
      </c>
    </row>
    <row r="132" spans="2:11" x14ac:dyDescent="0.25">
      <c r="B132" s="31">
        <v>42611</v>
      </c>
      <c r="C132" s="21" t="s">
        <v>853</v>
      </c>
      <c r="D132" s="23"/>
      <c r="E132" s="23"/>
      <c r="F132" s="23"/>
      <c r="G132" s="23"/>
      <c r="H132" s="23">
        <v>300</v>
      </c>
      <c r="I132" s="27"/>
      <c r="J132" s="24">
        <f t="shared" si="12"/>
        <v>37634.400000000001</v>
      </c>
      <c r="K132" s="24">
        <f t="shared" si="13"/>
        <v>26905.78</v>
      </c>
    </row>
    <row r="133" spans="2:11" x14ac:dyDescent="0.25">
      <c r="B133" s="31">
        <v>42611</v>
      </c>
      <c r="C133" s="21" t="s">
        <v>835</v>
      </c>
      <c r="D133" s="23"/>
      <c r="E133" s="23"/>
      <c r="F133" s="23"/>
      <c r="G133" s="23"/>
      <c r="H133" s="23">
        <v>270</v>
      </c>
      <c r="I133" s="27"/>
      <c r="J133" s="24">
        <f t="shared" si="12"/>
        <v>37634.400000000001</v>
      </c>
      <c r="K133" s="24">
        <f t="shared" si="13"/>
        <v>26635.78</v>
      </c>
    </row>
    <row r="134" spans="2:11" x14ac:dyDescent="0.25">
      <c r="B134" s="31">
        <v>42611</v>
      </c>
      <c r="C134" s="21" t="s">
        <v>854</v>
      </c>
      <c r="D134" s="23"/>
      <c r="E134" s="23"/>
      <c r="F134" s="23"/>
      <c r="G134" s="23"/>
      <c r="H134" s="23">
        <v>400</v>
      </c>
      <c r="I134" s="27"/>
      <c r="J134" s="24">
        <f t="shared" si="12"/>
        <v>37634.400000000001</v>
      </c>
      <c r="K134" s="24">
        <f t="shared" si="13"/>
        <v>26235.78</v>
      </c>
    </row>
    <row r="135" spans="2:11" x14ac:dyDescent="0.25">
      <c r="B135" s="31">
        <v>42611</v>
      </c>
      <c r="C135" s="21" t="s">
        <v>855</v>
      </c>
      <c r="D135" s="23"/>
      <c r="E135" s="23"/>
      <c r="F135" s="23"/>
      <c r="G135" s="23"/>
      <c r="H135" s="23">
        <v>280</v>
      </c>
      <c r="I135" s="27"/>
      <c r="J135" s="24">
        <f t="shared" si="12"/>
        <v>37634.400000000001</v>
      </c>
      <c r="K135" s="24">
        <f t="shared" si="13"/>
        <v>25955.78</v>
      </c>
    </row>
    <row r="136" spans="2:11" x14ac:dyDescent="0.25">
      <c r="B136" s="31">
        <v>42612</v>
      </c>
      <c r="C136" s="21" t="s">
        <v>856</v>
      </c>
      <c r="D136" s="73"/>
      <c r="E136" s="73"/>
      <c r="F136" s="73"/>
      <c r="G136" s="73"/>
      <c r="H136" s="23">
        <v>500</v>
      </c>
      <c r="I136" s="27"/>
      <c r="J136" s="24">
        <f t="shared" si="12"/>
        <v>37634.400000000001</v>
      </c>
      <c r="K136" s="24">
        <f t="shared" si="13"/>
        <v>25455.78</v>
      </c>
    </row>
    <row r="137" spans="2:11" x14ac:dyDescent="0.25">
      <c r="B137" s="31">
        <v>42612</v>
      </c>
      <c r="C137" s="25" t="s">
        <v>857</v>
      </c>
      <c r="D137" s="73"/>
      <c r="E137" s="73"/>
      <c r="F137" s="73"/>
      <c r="G137" s="28"/>
      <c r="H137" s="23">
        <v>350</v>
      </c>
      <c r="I137" s="27"/>
      <c r="J137" s="24">
        <f t="shared" si="12"/>
        <v>37634.400000000001</v>
      </c>
      <c r="K137" s="24">
        <f t="shared" si="13"/>
        <v>25105.78</v>
      </c>
    </row>
    <row r="138" spans="2:11" x14ac:dyDescent="0.25">
      <c r="B138" s="31">
        <v>42612</v>
      </c>
      <c r="C138" s="25" t="s">
        <v>857</v>
      </c>
      <c r="D138" s="73"/>
      <c r="E138" s="73"/>
      <c r="F138" s="73"/>
      <c r="G138" s="73"/>
      <c r="H138" s="23">
        <v>350</v>
      </c>
      <c r="I138" s="27"/>
      <c r="J138" s="24">
        <f t="shared" si="12"/>
        <v>37634.400000000001</v>
      </c>
      <c r="K138" s="24">
        <f t="shared" si="13"/>
        <v>24755.78</v>
      </c>
    </row>
    <row r="139" spans="2:11" x14ac:dyDescent="0.25">
      <c r="B139" s="31">
        <v>42612</v>
      </c>
      <c r="C139" s="25" t="s">
        <v>865</v>
      </c>
      <c r="D139" s="73"/>
      <c r="E139" s="73"/>
      <c r="F139" s="73"/>
      <c r="G139" s="73"/>
      <c r="H139" s="23">
        <v>650</v>
      </c>
      <c r="I139" s="27"/>
      <c r="J139" s="24">
        <f t="shared" si="12"/>
        <v>37634.400000000001</v>
      </c>
      <c r="K139" s="24">
        <f t="shared" si="13"/>
        <v>24105.78</v>
      </c>
    </row>
    <row r="140" spans="2:11" x14ac:dyDescent="0.25">
      <c r="B140" s="31">
        <v>42613</v>
      </c>
      <c r="C140" s="25" t="s">
        <v>858</v>
      </c>
      <c r="D140" s="73"/>
      <c r="E140" s="73"/>
      <c r="F140" s="73"/>
      <c r="G140" s="28"/>
      <c r="H140" s="23">
        <v>2700</v>
      </c>
      <c r="I140" s="27"/>
      <c r="J140" s="24">
        <f t="shared" si="12"/>
        <v>37634.400000000001</v>
      </c>
      <c r="K140" s="24">
        <f t="shared" si="13"/>
        <v>21405.78</v>
      </c>
    </row>
    <row r="141" spans="2:11" x14ac:dyDescent="0.25">
      <c r="B141" s="31">
        <v>42613</v>
      </c>
      <c r="C141" s="25" t="s">
        <v>859</v>
      </c>
      <c r="D141" s="73"/>
      <c r="E141" s="73"/>
      <c r="F141" s="73"/>
      <c r="G141" s="73"/>
      <c r="H141" s="23">
        <v>4000</v>
      </c>
      <c r="I141" s="27"/>
      <c r="J141" s="24">
        <f t="shared" si="12"/>
        <v>37634.400000000001</v>
      </c>
      <c r="K141" s="24">
        <f t="shared" si="13"/>
        <v>17405.78</v>
      </c>
    </row>
    <row r="142" spans="2:11" x14ac:dyDescent="0.25">
      <c r="B142" s="31">
        <v>42588</v>
      </c>
      <c r="C142" s="21" t="s">
        <v>861</v>
      </c>
      <c r="D142" s="23"/>
      <c r="E142" s="23">
        <v>300.45999999999998</v>
      </c>
      <c r="F142" s="23"/>
      <c r="G142" s="23"/>
      <c r="H142" s="23"/>
      <c r="I142" s="27"/>
      <c r="J142" s="24">
        <f t="shared" si="12"/>
        <v>37934.86</v>
      </c>
      <c r="K142" s="24">
        <f t="shared" si="13"/>
        <v>17405.78</v>
      </c>
    </row>
    <row r="143" spans="2:11" x14ac:dyDescent="0.25">
      <c r="B143" s="31">
        <v>42592</v>
      </c>
      <c r="C143" s="21" t="s">
        <v>862</v>
      </c>
      <c r="D143" s="23"/>
      <c r="E143" s="23">
        <v>12760</v>
      </c>
      <c r="F143" s="23"/>
      <c r="G143" s="23"/>
      <c r="H143" s="23"/>
      <c r="I143" s="27"/>
      <c r="J143" s="24">
        <f t="shared" si="12"/>
        <v>50694.86</v>
      </c>
      <c r="K143" s="24">
        <f>+K142+D143-H143</f>
        <v>17405.78</v>
      </c>
    </row>
    <row r="144" spans="2:11" x14ac:dyDescent="0.25">
      <c r="B144" s="31">
        <v>42604</v>
      </c>
      <c r="C144" s="21" t="s">
        <v>863</v>
      </c>
      <c r="D144" s="23"/>
      <c r="E144" s="23">
        <v>12760</v>
      </c>
      <c r="F144" s="23"/>
      <c r="G144" s="23"/>
      <c r="H144" s="23"/>
      <c r="I144" s="27"/>
      <c r="J144" s="24">
        <f t="shared" si="12"/>
        <v>63454.86</v>
      </c>
      <c r="K144" s="24">
        <f t="shared" si="13"/>
        <v>17405.78</v>
      </c>
    </row>
    <row r="145" spans="2:11" x14ac:dyDescent="0.25">
      <c r="B145" s="31">
        <v>42613</v>
      </c>
      <c r="C145" s="21" t="s">
        <v>622</v>
      </c>
      <c r="D145" s="23"/>
      <c r="E145" s="23"/>
      <c r="F145" s="23"/>
      <c r="G145" s="23">
        <v>70</v>
      </c>
      <c r="H145" s="23"/>
      <c r="I145" s="27"/>
      <c r="J145" s="24">
        <f t="shared" si="12"/>
        <v>63384.86</v>
      </c>
      <c r="K145" s="24">
        <f t="shared" si="13"/>
        <v>17405.78</v>
      </c>
    </row>
    <row r="146" spans="2:11" ht="15.75" thickBot="1" x14ac:dyDescent="0.3">
      <c r="B146" s="31">
        <v>42603</v>
      </c>
      <c r="C146" s="21" t="s">
        <v>623</v>
      </c>
      <c r="D146" s="23"/>
      <c r="E146" s="23"/>
      <c r="F146" s="23"/>
      <c r="G146" s="23">
        <v>11.2</v>
      </c>
      <c r="H146" s="92"/>
      <c r="I146" s="27"/>
      <c r="J146" s="24">
        <f t="shared" si="12"/>
        <v>63373.66</v>
      </c>
      <c r="K146" s="24">
        <f t="shared" si="13"/>
        <v>17405.78</v>
      </c>
    </row>
    <row r="147" spans="2:11" ht="15.75" thickBot="1" x14ac:dyDescent="0.3">
      <c r="B147" s="13"/>
      <c r="C147" s="16" t="s">
        <v>0</v>
      </c>
      <c r="D147" s="105">
        <f>SUM(D117:D146)</f>
        <v>95425</v>
      </c>
      <c r="E147" s="103">
        <f>SUM(E117:E146)</f>
        <v>25820.46</v>
      </c>
      <c r="F147" s="114">
        <f>SUM(D147:E147)</f>
        <v>121245.45999999999</v>
      </c>
      <c r="G147" s="126">
        <f>SUM(G117:G146)</f>
        <v>9015.2000000000007</v>
      </c>
      <c r="H147" s="105">
        <f>SUM(H117:H146)</f>
        <v>118565.47</v>
      </c>
      <c r="I147" s="114">
        <f>SUM(G147:H147)</f>
        <v>127580.67</v>
      </c>
      <c r="J147" s="33"/>
      <c r="K147" s="33"/>
    </row>
    <row r="149" spans="2:11" ht="15.75" thickBot="1" x14ac:dyDescent="0.3"/>
    <row r="150" spans="2:11" ht="15.75" thickBot="1" x14ac:dyDescent="0.3">
      <c r="I150" s="117" t="s">
        <v>174</v>
      </c>
      <c r="J150" s="117" t="s">
        <v>173</v>
      </c>
      <c r="K150" s="141" t="s">
        <v>0</v>
      </c>
    </row>
    <row r="151" spans="2:11" ht="15.75" thickBot="1" x14ac:dyDescent="0.3">
      <c r="I151" s="120">
        <v>63373.66</v>
      </c>
      <c r="J151" s="120">
        <v>17405.78</v>
      </c>
      <c r="K151" s="33">
        <f>SUM(I151:J151)</f>
        <v>80779.44</v>
      </c>
    </row>
  </sheetData>
  <printOptions verticalCentered="1"/>
  <pageMargins left="0.70866141732283472" right="0.70866141732283472" top="0" bottom="0" header="0.31496062992125984" footer="0.31496062992125984"/>
  <pageSetup paperSize="9" scale="69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B1:L149"/>
  <sheetViews>
    <sheetView topLeftCell="C1" zoomScaleNormal="100" workbookViewId="0">
      <pane ySplit="3" topLeftCell="A141" activePane="bottomLeft" state="frozen"/>
      <selection pane="bottomLeft" activeCell="E150" sqref="E150"/>
    </sheetView>
  </sheetViews>
  <sheetFormatPr baseColWidth="10" defaultRowHeight="15" x14ac:dyDescent="0.25"/>
  <cols>
    <col min="1" max="2" width="10.7109375" customWidth="1"/>
    <col min="3" max="3" width="84.28515625" customWidth="1"/>
    <col min="4" max="6" width="11.7109375" customWidth="1"/>
    <col min="8" max="8" width="11.42578125" bestFit="1" customWidth="1"/>
  </cols>
  <sheetData>
    <row r="1" spans="2:11" ht="16.5" thickBot="1" x14ac:dyDescent="0.3">
      <c r="B1" s="125"/>
      <c r="C1" s="127" t="s">
        <v>866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1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42613</v>
      </c>
      <c r="C4" s="108" t="s">
        <v>867</v>
      </c>
      <c r="D4" s="109"/>
      <c r="E4" s="106"/>
      <c r="F4" s="106"/>
      <c r="G4" s="106"/>
      <c r="H4" s="30"/>
      <c r="I4" s="107"/>
      <c r="J4" s="116">
        <v>63373.66</v>
      </c>
      <c r="K4" s="143">
        <v>17405.78</v>
      </c>
    </row>
    <row r="5" spans="2:11" x14ac:dyDescent="0.25">
      <c r="B5" s="36">
        <v>42614</v>
      </c>
      <c r="C5" s="21" t="s">
        <v>868</v>
      </c>
      <c r="D5" s="23"/>
      <c r="E5" s="23"/>
      <c r="F5" s="23"/>
      <c r="G5" s="23"/>
      <c r="H5" s="23">
        <v>175</v>
      </c>
      <c r="I5" s="27"/>
      <c r="J5" s="24">
        <f>+J4+E5-G5</f>
        <v>63373.66</v>
      </c>
      <c r="K5" s="24">
        <f t="shared" ref="K5:K6" si="0">+K4+D5-H5</f>
        <v>17230.78</v>
      </c>
    </row>
    <row r="6" spans="2:11" x14ac:dyDescent="0.25">
      <c r="B6" s="36">
        <v>42614</v>
      </c>
      <c r="C6" s="25" t="s">
        <v>869</v>
      </c>
      <c r="D6" s="23"/>
      <c r="E6" s="23"/>
      <c r="F6" s="23"/>
      <c r="G6" s="23"/>
      <c r="H6" s="23">
        <v>149.19999999999999</v>
      </c>
      <c r="I6" s="27"/>
      <c r="J6" s="24">
        <f t="shared" ref="J6" si="1">+J5+E6-G6</f>
        <v>63373.66</v>
      </c>
      <c r="K6" s="24">
        <f t="shared" si="0"/>
        <v>17081.579999999998</v>
      </c>
    </row>
    <row r="7" spans="2:11" x14ac:dyDescent="0.25">
      <c r="B7" s="31">
        <v>42614</v>
      </c>
      <c r="C7" s="21" t="s">
        <v>870</v>
      </c>
      <c r="D7" s="23"/>
      <c r="E7" s="23"/>
      <c r="F7" s="23"/>
      <c r="G7" s="23"/>
      <c r="H7" s="92">
        <v>230</v>
      </c>
      <c r="I7" s="27"/>
      <c r="J7" s="24">
        <f t="shared" ref="J7:J55" si="2">+J6+E7-G7</f>
        <v>63373.66</v>
      </c>
      <c r="K7" s="24">
        <f t="shared" ref="K7:K55" si="3">+K6+D7-H7</f>
        <v>16851.579999999998</v>
      </c>
    </row>
    <row r="8" spans="2:11" x14ac:dyDescent="0.25">
      <c r="B8" s="31">
        <v>42614</v>
      </c>
      <c r="C8" s="25" t="s">
        <v>871</v>
      </c>
      <c r="D8" s="23"/>
      <c r="E8" s="23"/>
      <c r="F8" s="23"/>
      <c r="G8" s="23"/>
      <c r="H8" s="23">
        <v>72</v>
      </c>
      <c r="I8" s="27"/>
      <c r="J8" s="24">
        <f t="shared" si="2"/>
        <v>63373.66</v>
      </c>
      <c r="K8" s="24">
        <f t="shared" si="3"/>
        <v>16779.579999999998</v>
      </c>
    </row>
    <row r="9" spans="2:11" x14ac:dyDescent="0.25">
      <c r="B9" s="31">
        <v>42614</v>
      </c>
      <c r="C9" s="21" t="s">
        <v>871</v>
      </c>
      <c r="D9" s="23"/>
      <c r="E9" s="23"/>
      <c r="F9" s="23"/>
      <c r="G9" s="23"/>
      <c r="H9" s="92">
        <v>140</v>
      </c>
      <c r="I9" s="27"/>
      <c r="J9" s="24">
        <f t="shared" si="2"/>
        <v>63373.66</v>
      </c>
      <c r="K9" s="24">
        <f t="shared" si="3"/>
        <v>16639.579999999998</v>
      </c>
    </row>
    <row r="10" spans="2:11" x14ac:dyDescent="0.25">
      <c r="B10" s="31">
        <v>42614</v>
      </c>
      <c r="C10" s="21" t="s">
        <v>872</v>
      </c>
      <c r="D10" s="23"/>
      <c r="E10" s="23"/>
      <c r="F10" s="23"/>
      <c r="G10" s="23"/>
      <c r="H10" s="23">
        <v>349.5</v>
      </c>
      <c r="I10" s="27"/>
      <c r="J10" s="24">
        <f t="shared" si="2"/>
        <v>63373.66</v>
      </c>
      <c r="K10" s="24">
        <f t="shared" si="3"/>
        <v>16290.079999999998</v>
      </c>
    </row>
    <row r="11" spans="2:11" x14ac:dyDescent="0.25">
      <c r="B11" s="31">
        <v>42615</v>
      </c>
      <c r="C11" s="21" t="s">
        <v>873</v>
      </c>
      <c r="D11" s="23"/>
      <c r="E11" s="23"/>
      <c r="F11" s="23"/>
      <c r="G11" s="23"/>
      <c r="H11" s="23">
        <v>1000</v>
      </c>
      <c r="I11" s="27"/>
      <c r="J11" s="24">
        <f t="shared" si="2"/>
        <v>63373.66</v>
      </c>
      <c r="K11" s="24">
        <f t="shared" si="3"/>
        <v>15290.079999999998</v>
      </c>
    </row>
    <row r="12" spans="2:11" x14ac:dyDescent="0.25">
      <c r="B12" s="31">
        <v>42615</v>
      </c>
      <c r="C12" s="21" t="s">
        <v>874</v>
      </c>
      <c r="D12" s="23"/>
      <c r="E12" s="23"/>
      <c r="F12" s="23"/>
      <c r="G12" s="23"/>
      <c r="H12" s="23">
        <v>500</v>
      </c>
      <c r="I12" s="27"/>
      <c r="J12" s="24">
        <f t="shared" si="2"/>
        <v>63373.66</v>
      </c>
      <c r="K12" s="24">
        <f t="shared" si="3"/>
        <v>14790.079999999998</v>
      </c>
    </row>
    <row r="13" spans="2:11" x14ac:dyDescent="0.25">
      <c r="B13" s="31">
        <v>42615</v>
      </c>
      <c r="C13" s="21" t="s">
        <v>875</v>
      </c>
      <c r="D13" s="23"/>
      <c r="E13" s="23"/>
      <c r="F13" s="23"/>
      <c r="G13" s="23"/>
      <c r="H13" s="92">
        <v>1750</v>
      </c>
      <c r="I13" s="27"/>
      <c r="J13" s="24">
        <f t="shared" si="2"/>
        <v>63373.66</v>
      </c>
      <c r="K13" s="24">
        <f t="shared" si="3"/>
        <v>13040.079999999998</v>
      </c>
    </row>
    <row r="14" spans="2:11" x14ac:dyDescent="0.25">
      <c r="B14" s="31">
        <v>42616</v>
      </c>
      <c r="C14" s="21" t="s">
        <v>876</v>
      </c>
      <c r="D14" s="23"/>
      <c r="E14" s="23"/>
      <c r="F14" s="23"/>
      <c r="G14" s="23"/>
      <c r="H14" s="23">
        <v>160.69999999999999</v>
      </c>
      <c r="I14" s="27"/>
      <c r="J14" s="24">
        <f t="shared" si="2"/>
        <v>63373.66</v>
      </c>
      <c r="K14" s="24">
        <f t="shared" si="3"/>
        <v>12879.379999999997</v>
      </c>
    </row>
    <row r="15" spans="2:11" x14ac:dyDescent="0.25">
      <c r="B15" s="31">
        <v>42616</v>
      </c>
      <c r="C15" s="21" t="s">
        <v>877</v>
      </c>
      <c r="D15" s="23"/>
      <c r="E15" s="23"/>
      <c r="F15" s="23"/>
      <c r="G15" s="23"/>
      <c r="H15" s="92">
        <v>112</v>
      </c>
      <c r="I15" s="27"/>
      <c r="J15" s="24">
        <f t="shared" si="2"/>
        <v>63373.66</v>
      </c>
      <c r="K15" s="24">
        <f t="shared" si="3"/>
        <v>12767.379999999997</v>
      </c>
    </row>
    <row r="16" spans="2:11" x14ac:dyDescent="0.25">
      <c r="B16" s="31">
        <v>42616</v>
      </c>
      <c r="C16" s="21" t="s">
        <v>878</v>
      </c>
      <c r="D16" s="23"/>
      <c r="E16" s="23"/>
      <c r="F16" s="23"/>
      <c r="G16" s="23"/>
      <c r="H16" s="23">
        <v>80</v>
      </c>
      <c r="I16" s="27"/>
      <c r="J16" s="24">
        <f t="shared" si="2"/>
        <v>63373.66</v>
      </c>
      <c r="K16" s="24">
        <f t="shared" si="3"/>
        <v>12687.379999999997</v>
      </c>
    </row>
    <row r="17" spans="2:11" x14ac:dyDescent="0.25">
      <c r="B17" s="31">
        <v>42616</v>
      </c>
      <c r="C17" s="21" t="s">
        <v>879</v>
      </c>
      <c r="D17" s="23"/>
      <c r="E17" s="23"/>
      <c r="F17" s="23"/>
      <c r="G17" s="23"/>
      <c r="H17" s="23">
        <v>1337.58</v>
      </c>
      <c r="I17" s="27"/>
      <c r="J17" s="24">
        <f t="shared" si="2"/>
        <v>63373.66</v>
      </c>
      <c r="K17" s="24">
        <f t="shared" si="3"/>
        <v>11349.799999999997</v>
      </c>
    </row>
    <row r="18" spans="2:11" x14ac:dyDescent="0.25">
      <c r="B18" s="31">
        <v>42616</v>
      </c>
      <c r="C18" s="21" t="s">
        <v>880</v>
      </c>
      <c r="D18" s="23"/>
      <c r="E18" s="23"/>
      <c r="F18" s="23"/>
      <c r="G18" s="23"/>
      <c r="H18" s="23">
        <v>179.99</v>
      </c>
      <c r="I18" s="27"/>
      <c r="J18" s="24">
        <f t="shared" si="2"/>
        <v>63373.66</v>
      </c>
      <c r="K18" s="24">
        <f t="shared" si="3"/>
        <v>11169.809999999998</v>
      </c>
    </row>
    <row r="19" spans="2:11" x14ac:dyDescent="0.25">
      <c r="B19" s="31">
        <v>42616</v>
      </c>
      <c r="C19" s="21" t="s">
        <v>881</v>
      </c>
      <c r="D19" s="23"/>
      <c r="E19" s="23"/>
      <c r="F19" s="23"/>
      <c r="G19" s="23"/>
      <c r="H19" s="23">
        <v>40</v>
      </c>
      <c r="I19" s="27"/>
      <c r="J19" s="24">
        <f t="shared" si="2"/>
        <v>63373.66</v>
      </c>
      <c r="K19" s="24">
        <f t="shared" si="3"/>
        <v>11129.809999999998</v>
      </c>
    </row>
    <row r="20" spans="2:11" x14ac:dyDescent="0.25">
      <c r="B20" s="31">
        <v>42616</v>
      </c>
      <c r="C20" s="21" t="s">
        <v>882</v>
      </c>
      <c r="D20" s="23"/>
      <c r="E20" s="23"/>
      <c r="F20" s="23"/>
      <c r="G20" s="23"/>
      <c r="H20" s="23">
        <v>500</v>
      </c>
      <c r="I20" s="27"/>
      <c r="J20" s="24">
        <f t="shared" si="2"/>
        <v>63373.66</v>
      </c>
      <c r="K20" s="24">
        <f t="shared" si="3"/>
        <v>10629.809999999998</v>
      </c>
    </row>
    <row r="21" spans="2:11" x14ac:dyDescent="0.25">
      <c r="B21" s="31">
        <v>42616</v>
      </c>
      <c r="C21" s="21" t="s">
        <v>883</v>
      </c>
      <c r="D21" s="23"/>
      <c r="E21" s="23"/>
      <c r="F21" s="23"/>
      <c r="G21" s="23"/>
      <c r="H21" s="23">
        <v>500</v>
      </c>
      <c r="I21" s="27"/>
      <c r="J21" s="24">
        <f t="shared" si="2"/>
        <v>63373.66</v>
      </c>
      <c r="K21" s="24">
        <f t="shared" si="3"/>
        <v>10129.809999999998</v>
      </c>
    </row>
    <row r="22" spans="2:11" x14ac:dyDescent="0.25">
      <c r="B22" s="31">
        <v>42617</v>
      </c>
      <c r="C22" s="21" t="s">
        <v>884</v>
      </c>
      <c r="D22" s="23"/>
      <c r="E22" s="23"/>
      <c r="F22" s="23"/>
      <c r="G22" s="23"/>
      <c r="H22" s="92">
        <v>168</v>
      </c>
      <c r="I22" s="27"/>
      <c r="J22" s="24">
        <f t="shared" si="2"/>
        <v>63373.66</v>
      </c>
      <c r="K22" s="24">
        <f t="shared" si="3"/>
        <v>9961.8099999999977</v>
      </c>
    </row>
    <row r="23" spans="2:11" x14ac:dyDescent="0.25">
      <c r="B23" s="31">
        <v>42617</v>
      </c>
      <c r="C23" s="21" t="s">
        <v>885</v>
      </c>
      <c r="D23" s="23"/>
      <c r="E23" s="23"/>
      <c r="F23" s="23"/>
      <c r="G23" s="23"/>
      <c r="H23" s="92">
        <v>120</v>
      </c>
      <c r="I23" s="27"/>
      <c r="J23" s="24">
        <f t="shared" si="2"/>
        <v>63373.66</v>
      </c>
      <c r="K23" s="24">
        <f t="shared" si="3"/>
        <v>9841.8099999999977</v>
      </c>
    </row>
    <row r="24" spans="2:11" x14ac:dyDescent="0.25">
      <c r="B24" s="31">
        <v>42617</v>
      </c>
      <c r="C24" s="21" t="s">
        <v>886</v>
      </c>
      <c r="D24" s="23"/>
      <c r="E24" s="23"/>
      <c r="F24" s="23"/>
      <c r="G24" s="23"/>
      <c r="H24" s="23">
        <v>150</v>
      </c>
      <c r="I24" s="27"/>
      <c r="J24" s="24">
        <f t="shared" si="2"/>
        <v>63373.66</v>
      </c>
      <c r="K24" s="24">
        <f t="shared" si="3"/>
        <v>9691.8099999999977</v>
      </c>
    </row>
    <row r="25" spans="2:11" x14ac:dyDescent="0.25">
      <c r="B25" s="31">
        <v>42617</v>
      </c>
      <c r="C25" s="21" t="s">
        <v>887</v>
      </c>
      <c r="D25" s="23"/>
      <c r="E25" s="23"/>
      <c r="F25" s="23"/>
      <c r="G25" s="23"/>
      <c r="H25" s="23">
        <v>237</v>
      </c>
      <c r="I25" s="27"/>
      <c r="J25" s="24">
        <f t="shared" si="2"/>
        <v>63373.66</v>
      </c>
      <c r="K25" s="24">
        <f t="shared" si="3"/>
        <v>9454.8099999999977</v>
      </c>
    </row>
    <row r="26" spans="2:11" x14ac:dyDescent="0.25">
      <c r="B26" s="31">
        <v>42618</v>
      </c>
      <c r="C26" s="21" t="s">
        <v>888</v>
      </c>
      <c r="D26" s="23"/>
      <c r="E26" s="23"/>
      <c r="F26" s="23"/>
      <c r="G26" s="23"/>
      <c r="H26" s="23">
        <v>350</v>
      </c>
      <c r="I26" s="27"/>
      <c r="J26" s="24">
        <f t="shared" si="2"/>
        <v>63373.66</v>
      </c>
      <c r="K26" s="24">
        <f t="shared" si="3"/>
        <v>9104.8099999999977</v>
      </c>
    </row>
    <row r="27" spans="2:11" x14ac:dyDescent="0.25">
      <c r="B27" s="31">
        <v>42618</v>
      </c>
      <c r="C27" s="21" t="s">
        <v>889</v>
      </c>
      <c r="D27" s="23"/>
      <c r="E27" s="23"/>
      <c r="F27" s="23"/>
      <c r="G27" s="23"/>
      <c r="H27" s="23">
        <v>350</v>
      </c>
      <c r="I27" s="27"/>
      <c r="J27" s="24">
        <f t="shared" si="2"/>
        <v>63373.66</v>
      </c>
      <c r="K27" s="24">
        <f t="shared" si="3"/>
        <v>8754.8099999999977</v>
      </c>
    </row>
    <row r="28" spans="2:11" x14ac:dyDescent="0.25">
      <c r="B28" s="31">
        <v>42618</v>
      </c>
      <c r="C28" s="21" t="s">
        <v>890</v>
      </c>
      <c r="D28" s="23"/>
      <c r="E28" s="23"/>
      <c r="F28" s="23"/>
      <c r="G28" s="23"/>
      <c r="H28" s="23">
        <v>700</v>
      </c>
      <c r="I28" s="27"/>
      <c r="J28" s="24">
        <f t="shared" si="2"/>
        <v>63373.66</v>
      </c>
      <c r="K28" s="24">
        <f t="shared" si="3"/>
        <v>8054.8099999999977</v>
      </c>
    </row>
    <row r="29" spans="2:11" x14ac:dyDescent="0.25">
      <c r="B29" s="31">
        <v>42618</v>
      </c>
      <c r="C29" s="21" t="s">
        <v>891</v>
      </c>
      <c r="D29" s="23"/>
      <c r="E29" s="23"/>
      <c r="F29" s="23"/>
      <c r="G29" s="23"/>
      <c r="H29" s="23">
        <v>330</v>
      </c>
      <c r="I29" s="27"/>
      <c r="J29" s="24">
        <f t="shared" si="2"/>
        <v>63373.66</v>
      </c>
      <c r="K29" s="24">
        <f t="shared" si="3"/>
        <v>7724.8099999999977</v>
      </c>
    </row>
    <row r="30" spans="2:11" x14ac:dyDescent="0.25">
      <c r="B30" s="31">
        <v>42618</v>
      </c>
      <c r="C30" s="21" t="s">
        <v>892</v>
      </c>
      <c r="D30" s="23"/>
      <c r="E30" s="23"/>
      <c r="F30" s="23"/>
      <c r="G30" s="23"/>
      <c r="H30" s="23">
        <v>237</v>
      </c>
      <c r="I30" s="27"/>
      <c r="J30" s="24">
        <f t="shared" si="2"/>
        <v>63373.66</v>
      </c>
      <c r="K30" s="24">
        <f t="shared" si="3"/>
        <v>7487.8099999999977</v>
      </c>
    </row>
    <row r="31" spans="2:11" x14ac:dyDescent="0.25">
      <c r="B31" s="31">
        <v>42618</v>
      </c>
      <c r="C31" s="21" t="s">
        <v>893</v>
      </c>
      <c r="D31" s="23">
        <v>28575</v>
      </c>
      <c r="E31" s="23"/>
      <c r="F31" s="23"/>
      <c r="G31" s="23"/>
      <c r="H31" s="92"/>
      <c r="I31" s="27"/>
      <c r="J31" s="24">
        <f t="shared" si="2"/>
        <v>63373.66</v>
      </c>
      <c r="K31" s="24">
        <f t="shared" si="3"/>
        <v>36062.81</v>
      </c>
    </row>
    <row r="32" spans="2:11" x14ac:dyDescent="0.25">
      <c r="B32" s="31">
        <v>42619</v>
      </c>
      <c r="C32" s="21" t="s">
        <v>894</v>
      </c>
      <c r="D32" s="23"/>
      <c r="E32" s="23"/>
      <c r="F32" s="23"/>
      <c r="G32" s="23"/>
      <c r="H32" s="23">
        <v>24</v>
      </c>
      <c r="I32" s="27"/>
      <c r="J32" s="24">
        <f t="shared" si="2"/>
        <v>63373.66</v>
      </c>
      <c r="K32" s="24">
        <f t="shared" si="3"/>
        <v>36038.81</v>
      </c>
    </row>
    <row r="33" spans="2:11" x14ac:dyDescent="0.25">
      <c r="B33" s="31">
        <v>42619</v>
      </c>
      <c r="C33" s="21" t="s">
        <v>895</v>
      </c>
      <c r="D33" s="23"/>
      <c r="E33" s="23"/>
      <c r="F33" s="23"/>
      <c r="G33" s="23"/>
      <c r="H33" s="23">
        <v>250</v>
      </c>
      <c r="I33" s="27"/>
      <c r="J33" s="24">
        <f t="shared" si="2"/>
        <v>63373.66</v>
      </c>
      <c r="K33" s="24">
        <f t="shared" si="3"/>
        <v>35788.81</v>
      </c>
    </row>
    <row r="34" spans="2:11" x14ac:dyDescent="0.25">
      <c r="B34" s="31">
        <v>42620</v>
      </c>
      <c r="C34" s="21" t="s">
        <v>896</v>
      </c>
      <c r="D34" s="23"/>
      <c r="E34" s="23"/>
      <c r="F34" s="23"/>
      <c r="G34" s="23"/>
      <c r="H34" s="23">
        <v>800</v>
      </c>
      <c r="I34" s="27"/>
      <c r="J34" s="24">
        <f t="shared" si="2"/>
        <v>63373.66</v>
      </c>
      <c r="K34" s="24">
        <f t="shared" si="3"/>
        <v>34988.81</v>
      </c>
    </row>
    <row r="35" spans="2:11" x14ac:dyDescent="0.25">
      <c r="B35" s="31">
        <v>42620</v>
      </c>
      <c r="C35" s="21" t="s">
        <v>897</v>
      </c>
      <c r="D35" s="23"/>
      <c r="E35" s="23"/>
      <c r="F35" s="23"/>
      <c r="G35" s="23"/>
      <c r="H35" s="23">
        <v>1000</v>
      </c>
      <c r="I35" s="27"/>
      <c r="J35" s="24">
        <f t="shared" si="2"/>
        <v>63373.66</v>
      </c>
      <c r="K35" s="24">
        <f t="shared" si="3"/>
        <v>33988.81</v>
      </c>
    </row>
    <row r="36" spans="2:11" x14ac:dyDescent="0.25">
      <c r="B36" s="31">
        <v>42620</v>
      </c>
      <c r="C36" s="21" t="s">
        <v>898</v>
      </c>
      <c r="D36" s="23"/>
      <c r="E36" s="23"/>
      <c r="F36" s="23"/>
      <c r="G36" s="23"/>
      <c r="H36" s="23">
        <v>500</v>
      </c>
      <c r="I36" s="27"/>
      <c r="J36" s="24">
        <f t="shared" si="2"/>
        <v>63373.66</v>
      </c>
      <c r="K36" s="24">
        <f t="shared" si="3"/>
        <v>33488.81</v>
      </c>
    </row>
    <row r="37" spans="2:11" x14ac:dyDescent="0.25">
      <c r="B37" s="31">
        <v>42621</v>
      </c>
      <c r="C37" s="21" t="s">
        <v>899</v>
      </c>
      <c r="D37" s="23"/>
      <c r="E37" s="23"/>
      <c r="F37" s="23"/>
      <c r="G37" s="23"/>
      <c r="H37" s="23">
        <v>500</v>
      </c>
      <c r="I37" s="27"/>
      <c r="J37" s="24">
        <f t="shared" si="2"/>
        <v>63373.66</v>
      </c>
      <c r="K37" s="24">
        <f t="shared" si="3"/>
        <v>32988.81</v>
      </c>
    </row>
    <row r="38" spans="2:11" x14ac:dyDescent="0.25">
      <c r="B38" s="31">
        <v>42622</v>
      </c>
      <c r="C38" s="21" t="s">
        <v>900</v>
      </c>
      <c r="D38" s="23"/>
      <c r="E38" s="23"/>
      <c r="F38" s="23"/>
      <c r="G38" s="23"/>
      <c r="H38" s="23">
        <v>240</v>
      </c>
      <c r="I38" s="27"/>
      <c r="J38" s="24">
        <f t="shared" si="2"/>
        <v>63373.66</v>
      </c>
      <c r="K38" s="24">
        <f t="shared" si="3"/>
        <v>32748.809999999998</v>
      </c>
    </row>
    <row r="39" spans="2:11" x14ac:dyDescent="0.25">
      <c r="B39" s="31">
        <v>42622</v>
      </c>
      <c r="C39" s="21" t="s">
        <v>901</v>
      </c>
      <c r="D39" s="23"/>
      <c r="E39" s="23"/>
      <c r="F39" s="23"/>
      <c r="G39" s="23"/>
      <c r="H39" s="23">
        <v>1000</v>
      </c>
      <c r="I39" s="27"/>
      <c r="J39" s="24">
        <f t="shared" si="2"/>
        <v>63373.66</v>
      </c>
      <c r="K39" s="24">
        <f t="shared" si="3"/>
        <v>31748.809999999998</v>
      </c>
    </row>
    <row r="40" spans="2:11" x14ac:dyDescent="0.25">
      <c r="B40" s="31">
        <v>42622</v>
      </c>
      <c r="C40" s="21" t="s">
        <v>902</v>
      </c>
      <c r="D40" s="23"/>
      <c r="E40" s="23"/>
      <c r="F40" s="23"/>
      <c r="G40" s="23"/>
      <c r="H40" s="23">
        <v>476</v>
      </c>
      <c r="I40" s="27"/>
      <c r="J40" s="24">
        <f t="shared" si="2"/>
        <v>63373.66</v>
      </c>
      <c r="K40" s="24">
        <f t="shared" si="3"/>
        <v>31272.809999999998</v>
      </c>
    </row>
    <row r="41" spans="2:11" x14ac:dyDescent="0.25">
      <c r="B41" s="31">
        <v>42622</v>
      </c>
      <c r="C41" s="21" t="s">
        <v>903</v>
      </c>
      <c r="D41" s="23"/>
      <c r="E41" s="23"/>
      <c r="F41" s="23"/>
      <c r="G41" s="23"/>
      <c r="H41" s="92">
        <v>349.7</v>
      </c>
      <c r="I41" s="27"/>
      <c r="J41" s="24">
        <f t="shared" si="2"/>
        <v>63373.66</v>
      </c>
      <c r="K41" s="24">
        <f t="shared" si="3"/>
        <v>30923.109999999997</v>
      </c>
    </row>
    <row r="42" spans="2:11" x14ac:dyDescent="0.25">
      <c r="B42" s="31">
        <v>42622</v>
      </c>
      <c r="C42" s="21" t="s">
        <v>904</v>
      </c>
      <c r="D42" s="23"/>
      <c r="E42" s="23"/>
      <c r="F42" s="23"/>
      <c r="G42" s="23"/>
      <c r="H42" s="92">
        <v>184.7</v>
      </c>
      <c r="I42" s="27"/>
      <c r="J42" s="24">
        <f t="shared" si="2"/>
        <v>63373.66</v>
      </c>
      <c r="K42" s="24">
        <f t="shared" si="3"/>
        <v>30738.409999999996</v>
      </c>
    </row>
    <row r="43" spans="2:11" x14ac:dyDescent="0.25">
      <c r="B43" s="31">
        <v>42623</v>
      </c>
      <c r="C43" s="21" t="s">
        <v>905</v>
      </c>
      <c r="D43" s="23"/>
      <c r="E43" s="23"/>
      <c r="F43" s="23"/>
      <c r="G43" s="23"/>
      <c r="H43" s="92">
        <v>800</v>
      </c>
      <c r="I43" s="27"/>
      <c r="J43" s="24">
        <f t="shared" si="2"/>
        <v>63373.66</v>
      </c>
      <c r="K43" s="24">
        <f t="shared" si="3"/>
        <v>29938.409999999996</v>
      </c>
    </row>
    <row r="44" spans="2:11" x14ac:dyDescent="0.25">
      <c r="B44" s="31">
        <v>42623</v>
      </c>
      <c r="C44" s="21" t="s">
        <v>906</v>
      </c>
      <c r="D44" s="23"/>
      <c r="E44" s="23"/>
      <c r="F44" s="23"/>
      <c r="G44" s="23"/>
      <c r="H44" s="92">
        <v>350</v>
      </c>
      <c r="I44" s="27"/>
      <c r="J44" s="24">
        <f t="shared" si="2"/>
        <v>63373.66</v>
      </c>
      <c r="K44" s="24">
        <f t="shared" si="3"/>
        <v>29588.409999999996</v>
      </c>
    </row>
    <row r="45" spans="2:11" x14ac:dyDescent="0.25">
      <c r="B45" s="31">
        <v>42623</v>
      </c>
      <c r="C45" s="25" t="s">
        <v>907</v>
      </c>
      <c r="D45" s="73"/>
      <c r="E45" s="73"/>
      <c r="F45" s="73"/>
      <c r="G45" s="73"/>
      <c r="H45" s="23">
        <v>350</v>
      </c>
      <c r="I45" s="27"/>
      <c r="J45" s="24">
        <f t="shared" si="2"/>
        <v>63373.66</v>
      </c>
      <c r="K45" s="24">
        <f t="shared" si="3"/>
        <v>29238.409999999996</v>
      </c>
    </row>
    <row r="46" spans="2:11" x14ac:dyDescent="0.25">
      <c r="B46" s="31">
        <v>42623</v>
      </c>
      <c r="C46" s="25" t="s">
        <v>883</v>
      </c>
      <c r="D46" s="73"/>
      <c r="E46" s="73"/>
      <c r="F46" s="73"/>
      <c r="G46" s="28"/>
      <c r="H46" s="23">
        <v>500</v>
      </c>
      <c r="I46" s="27"/>
      <c r="J46" s="24">
        <f t="shared" si="2"/>
        <v>63373.66</v>
      </c>
      <c r="K46" s="24">
        <f t="shared" si="3"/>
        <v>28738.409999999996</v>
      </c>
    </row>
    <row r="47" spans="2:11" x14ac:dyDescent="0.25">
      <c r="B47" s="31">
        <v>42623</v>
      </c>
      <c r="C47" s="25" t="s">
        <v>908</v>
      </c>
      <c r="D47" s="73"/>
      <c r="E47" s="73"/>
      <c r="F47" s="73"/>
      <c r="G47" s="73"/>
      <c r="H47" s="23">
        <v>800</v>
      </c>
      <c r="I47" s="27"/>
      <c r="J47" s="24">
        <f t="shared" si="2"/>
        <v>63373.66</v>
      </c>
      <c r="K47" s="24">
        <f t="shared" si="3"/>
        <v>27938.409999999996</v>
      </c>
    </row>
    <row r="48" spans="2:11" x14ac:dyDescent="0.25">
      <c r="B48" s="31">
        <v>42623</v>
      </c>
      <c r="C48" s="25" t="s">
        <v>909</v>
      </c>
      <c r="D48" s="23"/>
      <c r="E48" s="23"/>
      <c r="F48" s="23"/>
      <c r="G48" s="23"/>
      <c r="H48" s="23">
        <v>800</v>
      </c>
      <c r="I48" s="27"/>
      <c r="J48" s="24">
        <f t="shared" si="2"/>
        <v>63373.66</v>
      </c>
      <c r="K48" s="24">
        <f t="shared" si="3"/>
        <v>27138.409999999996</v>
      </c>
    </row>
    <row r="49" spans="2:11" x14ac:dyDescent="0.25">
      <c r="B49" s="31">
        <v>42624</v>
      </c>
      <c r="C49" s="25" t="s">
        <v>885</v>
      </c>
      <c r="D49" s="23"/>
      <c r="E49" s="23"/>
      <c r="F49" s="23"/>
      <c r="G49" s="23"/>
      <c r="H49" s="23">
        <v>120</v>
      </c>
      <c r="I49" s="27"/>
      <c r="J49" s="24">
        <f t="shared" si="2"/>
        <v>63373.66</v>
      </c>
      <c r="K49" s="24">
        <f t="shared" si="3"/>
        <v>27018.409999999996</v>
      </c>
    </row>
    <row r="50" spans="2:11" x14ac:dyDescent="0.25">
      <c r="B50" s="31">
        <v>42624</v>
      </c>
      <c r="C50" s="25" t="s">
        <v>910</v>
      </c>
      <c r="D50" s="23"/>
      <c r="E50" s="23"/>
      <c r="F50" s="23"/>
      <c r="G50" s="23"/>
      <c r="H50" s="23">
        <v>63</v>
      </c>
      <c r="I50" s="27"/>
      <c r="J50" s="24">
        <f t="shared" si="2"/>
        <v>63373.66</v>
      </c>
      <c r="K50" s="24">
        <f t="shared" si="3"/>
        <v>26955.409999999996</v>
      </c>
    </row>
    <row r="51" spans="2:11" x14ac:dyDescent="0.25">
      <c r="B51" s="31">
        <v>42624</v>
      </c>
      <c r="C51" s="21" t="s">
        <v>911</v>
      </c>
      <c r="D51" s="23"/>
      <c r="E51" s="23"/>
      <c r="F51" s="23"/>
      <c r="G51" s="23"/>
      <c r="H51" s="23">
        <v>8</v>
      </c>
      <c r="I51" s="27"/>
      <c r="J51" s="24">
        <f t="shared" si="2"/>
        <v>63373.66</v>
      </c>
      <c r="K51" s="24">
        <f t="shared" si="3"/>
        <v>26947.409999999996</v>
      </c>
    </row>
    <row r="52" spans="2:11" x14ac:dyDescent="0.25">
      <c r="B52" s="31">
        <v>42624</v>
      </c>
      <c r="C52" s="21" t="s">
        <v>912</v>
      </c>
      <c r="D52" s="23"/>
      <c r="E52" s="23"/>
      <c r="F52" s="23"/>
      <c r="G52" s="23"/>
      <c r="H52" s="23">
        <v>500</v>
      </c>
      <c r="I52" s="27"/>
      <c r="J52" s="24">
        <f t="shared" si="2"/>
        <v>63373.66</v>
      </c>
      <c r="K52" s="24">
        <f t="shared" si="3"/>
        <v>26447.409999999996</v>
      </c>
    </row>
    <row r="53" spans="2:11" x14ac:dyDescent="0.25">
      <c r="B53" s="31">
        <v>42625</v>
      </c>
      <c r="C53" s="21" t="s">
        <v>913</v>
      </c>
      <c r="D53" s="23"/>
      <c r="E53" s="23"/>
      <c r="F53" s="23"/>
      <c r="G53" s="23"/>
      <c r="H53" s="92">
        <v>280</v>
      </c>
      <c r="I53" s="27"/>
      <c r="J53" s="24">
        <f t="shared" si="2"/>
        <v>63373.66</v>
      </c>
      <c r="K53" s="24">
        <f t="shared" si="3"/>
        <v>26167.409999999996</v>
      </c>
    </row>
    <row r="54" spans="2:11" x14ac:dyDescent="0.25">
      <c r="B54" s="31">
        <v>42625</v>
      </c>
      <c r="C54" s="25" t="s">
        <v>914</v>
      </c>
      <c r="D54" s="73"/>
      <c r="E54" s="73"/>
      <c r="F54" s="73"/>
      <c r="G54" s="73"/>
      <c r="H54" s="23">
        <v>200</v>
      </c>
      <c r="I54" s="27"/>
      <c r="J54" s="24">
        <f t="shared" si="2"/>
        <v>63373.66</v>
      </c>
      <c r="K54" s="24">
        <f t="shared" si="3"/>
        <v>25967.409999999996</v>
      </c>
    </row>
    <row r="55" spans="2:11" ht="15.75" thickBot="1" x14ac:dyDescent="0.3">
      <c r="B55" s="31"/>
      <c r="C55" s="25"/>
      <c r="D55" s="73"/>
      <c r="E55" s="73"/>
      <c r="F55" s="73"/>
      <c r="G55" s="28"/>
      <c r="H55" s="23"/>
      <c r="I55" s="27"/>
      <c r="J55" s="24">
        <f t="shared" si="2"/>
        <v>63373.66</v>
      </c>
      <c r="K55" s="24">
        <f t="shared" si="3"/>
        <v>25967.409999999996</v>
      </c>
    </row>
    <row r="56" spans="2:11" ht="15.75" thickBot="1" x14ac:dyDescent="0.3">
      <c r="B56" s="13"/>
      <c r="C56" s="16" t="s">
        <v>0</v>
      </c>
      <c r="D56" s="105">
        <f>SUM(D4:D47)</f>
        <v>28575</v>
      </c>
      <c r="E56" s="103">
        <f>SUM(E4:E47)</f>
        <v>0</v>
      </c>
      <c r="F56" s="114">
        <f>SUM(D56:E56)</f>
        <v>28575</v>
      </c>
      <c r="G56" s="126">
        <f>SUM(G4:G47)</f>
        <v>0</v>
      </c>
      <c r="H56" s="105">
        <f>SUM(H4:H55)</f>
        <v>20013.370000000003</v>
      </c>
      <c r="I56" s="114">
        <f>SUM(G56:H56)</f>
        <v>20013.370000000003</v>
      </c>
      <c r="J56" s="33">
        <v>63373.66</v>
      </c>
      <c r="K56" s="33"/>
    </row>
    <row r="57" spans="2:11" x14ac:dyDescent="0.25">
      <c r="B57" s="111" t="s">
        <v>1</v>
      </c>
      <c r="C57" s="111" t="s">
        <v>2</v>
      </c>
      <c r="D57" s="111" t="s">
        <v>3</v>
      </c>
      <c r="E57" s="111" t="s">
        <v>3</v>
      </c>
      <c r="F57" s="111" t="s">
        <v>323</v>
      </c>
      <c r="G57" s="111" t="s">
        <v>324</v>
      </c>
      <c r="H57" s="81" t="s">
        <v>324</v>
      </c>
      <c r="I57" s="81" t="s">
        <v>323</v>
      </c>
      <c r="J57" s="111" t="s">
        <v>174</v>
      </c>
      <c r="K57" s="81" t="s">
        <v>173</v>
      </c>
    </row>
    <row r="58" spans="2:11" ht="15.75" thickBot="1" x14ac:dyDescent="0.3">
      <c r="B58" s="112"/>
      <c r="C58" s="112"/>
      <c r="D58" s="112" t="s">
        <v>6</v>
      </c>
      <c r="E58" s="112" t="s">
        <v>325</v>
      </c>
      <c r="F58" s="112" t="s">
        <v>3</v>
      </c>
      <c r="G58" s="112" t="s">
        <v>325</v>
      </c>
      <c r="H58" s="113" t="s">
        <v>6</v>
      </c>
      <c r="I58" s="113" t="s">
        <v>5</v>
      </c>
      <c r="J58" s="112"/>
      <c r="K58" s="113"/>
    </row>
    <row r="59" spans="2:11" ht="15.75" thickBot="1" x14ac:dyDescent="0.3">
      <c r="B59" s="13"/>
      <c r="C59" s="16"/>
      <c r="D59" s="105">
        <v>28575</v>
      </c>
      <c r="E59" s="103">
        <v>0</v>
      </c>
      <c r="F59" s="114">
        <f>SUM(D59:E59)</f>
        <v>28575</v>
      </c>
      <c r="G59" s="126">
        <v>0</v>
      </c>
      <c r="H59" s="105">
        <v>20013.37</v>
      </c>
      <c r="I59" s="114">
        <f>SUM(G59:H59)</f>
        <v>20013.37</v>
      </c>
      <c r="J59" s="33">
        <v>63373.66</v>
      </c>
      <c r="K59" s="24">
        <v>25967.41</v>
      </c>
    </row>
    <row r="60" spans="2:11" x14ac:dyDescent="0.25">
      <c r="B60" s="31">
        <v>42625</v>
      </c>
      <c r="C60" s="25" t="s">
        <v>915</v>
      </c>
      <c r="D60" s="73"/>
      <c r="E60" s="73"/>
      <c r="F60" s="73"/>
      <c r="G60" s="73"/>
      <c r="H60" s="23">
        <v>200</v>
      </c>
      <c r="I60" s="27"/>
      <c r="J60" s="24">
        <f>+J59+E60-G60</f>
        <v>63373.66</v>
      </c>
      <c r="K60" s="24">
        <f t="shared" ref="K60" si="4">+K59+D60-H60</f>
        <v>25767.41</v>
      </c>
    </row>
    <row r="61" spans="2:11" x14ac:dyDescent="0.25">
      <c r="B61" s="31">
        <v>42625</v>
      </c>
      <c r="C61" s="21" t="s">
        <v>916</v>
      </c>
      <c r="D61" s="23">
        <v>20400</v>
      </c>
      <c r="E61" s="23"/>
      <c r="F61" s="23"/>
      <c r="G61" s="23"/>
      <c r="H61" s="92"/>
      <c r="I61" s="27"/>
      <c r="J61" s="24">
        <f>+J60+E61-G61</f>
        <v>63373.66</v>
      </c>
      <c r="K61" s="24">
        <f>+K60+D61-H61</f>
        <v>46167.41</v>
      </c>
    </row>
    <row r="62" spans="2:11" x14ac:dyDescent="0.25">
      <c r="B62" s="31">
        <v>42626</v>
      </c>
      <c r="C62" s="21" t="s">
        <v>917</v>
      </c>
      <c r="D62" s="23"/>
      <c r="E62" s="23"/>
      <c r="F62" s="23"/>
      <c r="G62" s="23"/>
      <c r="H62" s="92">
        <v>951</v>
      </c>
      <c r="I62" s="27"/>
      <c r="J62" s="24">
        <f>+J61+E62-G62</f>
        <v>63373.66</v>
      </c>
      <c r="K62" s="24">
        <f t="shared" ref="K62" si="5">+K61+D62-H62</f>
        <v>45216.41</v>
      </c>
    </row>
    <row r="63" spans="2:11" x14ac:dyDescent="0.25">
      <c r="B63" s="31">
        <v>42626</v>
      </c>
      <c r="C63" s="21" t="s">
        <v>918</v>
      </c>
      <c r="D63" s="23"/>
      <c r="E63" s="23"/>
      <c r="F63" s="23"/>
      <c r="G63" s="23"/>
      <c r="H63" s="92">
        <v>500</v>
      </c>
      <c r="I63" s="27"/>
      <c r="J63" s="24">
        <f t="shared" ref="J63:J111" si="6">+J62+E63-G63</f>
        <v>63373.66</v>
      </c>
      <c r="K63" s="24">
        <f t="shared" ref="K63:K111" si="7">+K62+D63-H63</f>
        <v>44716.41</v>
      </c>
    </row>
    <row r="64" spans="2:11" x14ac:dyDescent="0.25">
      <c r="B64" s="31">
        <v>42626</v>
      </c>
      <c r="C64" s="21" t="s">
        <v>919</v>
      </c>
      <c r="D64" s="23"/>
      <c r="E64" s="23"/>
      <c r="F64" s="23"/>
      <c r="G64" s="23"/>
      <c r="H64" s="92">
        <v>81</v>
      </c>
      <c r="I64" s="27"/>
      <c r="J64" s="24">
        <f t="shared" si="6"/>
        <v>63373.66</v>
      </c>
      <c r="K64" s="24">
        <f t="shared" si="7"/>
        <v>44635.41</v>
      </c>
    </row>
    <row r="65" spans="2:12" x14ac:dyDescent="0.25">
      <c r="B65" s="31">
        <v>42626</v>
      </c>
      <c r="C65" s="25" t="s">
        <v>920</v>
      </c>
      <c r="D65" s="23"/>
      <c r="E65" s="23"/>
      <c r="F65" s="23"/>
      <c r="G65" s="23"/>
      <c r="H65" s="23">
        <v>750</v>
      </c>
      <c r="I65" s="27"/>
      <c r="J65" s="24">
        <f t="shared" si="6"/>
        <v>63373.66</v>
      </c>
      <c r="K65" s="24">
        <f t="shared" si="7"/>
        <v>43885.41</v>
      </c>
    </row>
    <row r="66" spans="2:12" x14ac:dyDescent="0.25">
      <c r="B66" s="31">
        <v>42626</v>
      </c>
      <c r="C66" s="25" t="s">
        <v>921</v>
      </c>
      <c r="D66" s="23"/>
      <c r="E66" s="23"/>
      <c r="F66" s="23"/>
      <c r="G66" s="23"/>
      <c r="H66" s="23">
        <v>200</v>
      </c>
      <c r="I66" s="27"/>
      <c r="J66" s="24">
        <f t="shared" si="6"/>
        <v>63373.66</v>
      </c>
      <c r="K66" s="24">
        <f t="shared" si="7"/>
        <v>43685.41</v>
      </c>
    </row>
    <row r="67" spans="2:12" x14ac:dyDescent="0.25">
      <c r="B67" s="31">
        <v>42626</v>
      </c>
      <c r="C67" s="25" t="s">
        <v>922</v>
      </c>
      <c r="D67" s="23"/>
      <c r="E67" s="23"/>
      <c r="F67" s="23"/>
      <c r="G67" s="23"/>
      <c r="H67" s="23">
        <v>52</v>
      </c>
      <c r="I67" s="27"/>
      <c r="J67" s="24">
        <f t="shared" si="6"/>
        <v>63373.66</v>
      </c>
      <c r="K67" s="24">
        <f t="shared" si="7"/>
        <v>43633.41</v>
      </c>
    </row>
    <row r="68" spans="2:12" x14ac:dyDescent="0.25">
      <c r="B68" s="31">
        <v>42626</v>
      </c>
      <c r="C68" s="25" t="s">
        <v>923</v>
      </c>
      <c r="D68" s="23"/>
      <c r="E68" s="23"/>
      <c r="F68" s="23"/>
      <c r="G68" s="23"/>
      <c r="H68" s="23">
        <v>175</v>
      </c>
      <c r="I68" s="27"/>
      <c r="J68" s="24">
        <f t="shared" si="6"/>
        <v>63373.66</v>
      </c>
      <c r="K68" s="24">
        <f t="shared" si="7"/>
        <v>43458.41</v>
      </c>
    </row>
    <row r="69" spans="2:12" x14ac:dyDescent="0.25">
      <c r="B69" s="31">
        <v>42626</v>
      </c>
      <c r="C69" s="25" t="s">
        <v>924</v>
      </c>
      <c r="D69" s="23"/>
      <c r="E69" s="23"/>
      <c r="F69" s="23"/>
      <c r="G69" s="23"/>
      <c r="H69" s="23">
        <v>267.5</v>
      </c>
      <c r="I69" s="27"/>
      <c r="J69" s="24">
        <f t="shared" si="6"/>
        <v>63373.66</v>
      </c>
      <c r="K69" s="24">
        <f t="shared" si="7"/>
        <v>43190.91</v>
      </c>
    </row>
    <row r="70" spans="2:12" x14ac:dyDescent="0.25">
      <c r="B70" s="31">
        <v>42627</v>
      </c>
      <c r="C70" s="25" t="s">
        <v>925</v>
      </c>
      <c r="D70" s="23"/>
      <c r="E70" s="23"/>
      <c r="F70" s="23"/>
      <c r="G70" s="23"/>
      <c r="H70" s="23">
        <v>250</v>
      </c>
      <c r="I70" s="27"/>
      <c r="J70" s="24">
        <f t="shared" si="6"/>
        <v>63373.66</v>
      </c>
      <c r="K70" s="24">
        <f t="shared" si="7"/>
        <v>42940.91</v>
      </c>
    </row>
    <row r="71" spans="2:12" x14ac:dyDescent="0.25">
      <c r="B71" s="31">
        <v>42627</v>
      </c>
      <c r="C71" s="25" t="s">
        <v>926</v>
      </c>
      <c r="D71" s="23"/>
      <c r="E71" s="23"/>
      <c r="F71" s="23"/>
      <c r="G71" s="23"/>
      <c r="H71" s="23">
        <v>900</v>
      </c>
      <c r="I71" s="27"/>
      <c r="J71" s="24">
        <f t="shared" si="6"/>
        <v>63373.66</v>
      </c>
      <c r="K71" s="24">
        <f t="shared" si="7"/>
        <v>42040.91</v>
      </c>
    </row>
    <row r="72" spans="2:12" x14ac:dyDescent="0.25">
      <c r="B72" s="31">
        <v>42627</v>
      </c>
      <c r="C72" s="25" t="s">
        <v>927</v>
      </c>
      <c r="D72" s="23"/>
      <c r="E72" s="23"/>
      <c r="F72" s="23"/>
      <c r="G72" s="23"/>
      <c r="H72" s="23">
        <v>350</v>
      </c>
      <c r="I72" s="27"/>
      <c r="J72" s="24">
        <f t="shared" si="6"/>
        <v>63373.66</v>
      </c>
      <c r="K72" s="24">
        <f t="shared" si="7"/>
        <v>41690.910000000003</v>
      </c>
      <c r="L72" s="1"/>
    </row>
    <row r="73" spans="2:12" x14ac:dyDescent="0.25">
      <c r="B73" s="31">
        <v>42627</v>
      </c>
      <c r="C73" s="62" t="s">
        <v>928</v>
      </c>
      <c r="D73" s="23"/>
      <c r="E73" s="23"/>
      <c r="F73" s="23"/>
      <c r="G73" s="23"/>
      <c r="H73" s="23">
        <v>406.5</v>
      </c>
      <c r="I73" s="27"/>
      <c r="J73" s="24">
        <f t="shared" si="6"/>
        <v>63373.66</v>
      </c>
      <c r="K73" s="24">
        <f t="shared" si="7"/>
        <v>41284.410000000003</v>
      </c>
      <c r="L73" s="1"/>
    </row>
    <row r="74" spans="2:12" x14ac:dyDescent="0.25">
      <c r="B74" s="31">
        <v>42627</v>
      </c>
      <c r="C74" s="60" t="s">
        <v>929</v>
      </c>
      <c r="D74" s="23"/>
      <c r="E74" s="23"/>
      <c r="F74" s="23"/>
      <c r="G74" s="23"/>
      <c r="H74" s="23">
        <v>400</v>
      </c>
      <c r="I74" s="27"/>
      <c r="J74" s="24">
        <f t="shared" si="6"/>
        <v>63373.66</v>
      </c>
      <c r="K74" s="24">
        <f t="shared" si="7"/>
        <v>40884.410000000003</v>
      </c>
      <c r="L74" s="1"/>
    </row>
    <row r="75" spans="2:12" x14ac:dyDescent="0.25">
      <c r="B75" s="31">
        <v>42628</v>
      </c>
      <c r="C75" s="21" t="s">
        <v>930</v>
      </c>
      <c r="D75" s="23"/>
      <c r="E75" s="23"/>
      <c r="F75" s="23"/>
      <c r="G75" s="23"/>
      <c r="H75" s="23">
        <v>450</v>
      </c>
      <c r="I75" s="27"/>
      <c r="J75" s="24">
        <f t="shared" si="6"/>
        <v>63373.66</v>
      </c>
      <c r="K75" s="24">
        <f t="shared" si="7"/>
        <v>40434.410000000003</v>
      </c>
    </row>
    <row r="76" spans="2:12" x14ac:dyDescent="0.25">
      <c r="B76" s="31">
        <v>42628</v>
      </c>
      <c r="C76" s="21" t="s">
        <v>931</v>
      </c>
      <c r="D76" s="23"/>
      <c r="E76" s="23"/>
      <c r="F76" s="23"/>
      <c r="G76" s="23"/>
      <c r="H76" s="23">
        <v>300</v>
      </c>
      <c r="I76" s="27"/>
      <c r="J76" s="24">
        <f t="shared" si="6"/>
        <v>63373.66</v>
      </c>
      <c r="K76" s="24">
        <f t="shared" si="7"/>
        <v>40134.410000000003</v>
      </c>
    </row>
    <row r="77" spans="2:12" x14ac:dyDescent="0.25">
      <c r="B77" s="31">
        <v>42628</v>
      </c>
      <c r="C77" s="21" t="s">
        <v>932</v>
      </c>
      <c r="D77" s="23"/>
      <c r="E77" s="23"/>
      <c r="F77" s="23"/>
      <c r="G77" s="23"/>
      <c r="H77" s="23">
        <v>350</v>
      </c>
      <c r="I77" s="27"/>
      <c r="J77" s="24">
        <f t="shared" si="6"/>
        <v>63373.66</v>
      </c>
      <c r="K77" s="24">
        <f t="shared" si="7"/>
        <v>39784.410000000003</v>
      </c>
    </row>
    <row r="78" spans="2:12" x14ac:dyDescent="0.25">
      <c r="B78" s="31">
        <v>42628</v>
      </c>
      <c r="C78" s="62" t="s">
        <v>933</v>
      </c>
      <c r="D78" s="23"/>
      <c r="E78" s="23"/>
      <c r="F78" s="23"/>
      <c r="G78" s="23"/>
      <c r="H78" s="23">
        <v>250</v>
      </c>
      <c r="I78" s="27"/>
      <c r="J78" s="24">
        <f t="shared" si="6"/>
        <v>63373.66</v>
      </c>
      <c r="K78" s="24">
        <f t="shared" si="7"/>
        <v>39534.410000000003</v>
      </c>
    </row>
    <row r="79" spans="2:12" x14ac:dyDescent="0.25">
      <c r="B79" s="31">
        <v>42628</v>
      </c>
      <c r="C79" s="60" t="s">
        <v>934</v>
      </c>
      <c r="D79" s="23"/>
      <c r="E79" s="23"/>
      <c r="F79" s="23"/>
      <c r="G79" s="23"/>
      <c r="H79" s="23">
        <v>200</v>
      </c>
      <c r="I79" s="27"/>
      <c r="J79" s="24">
        <f t="shared" si="6"/>
        <v>63373.66</v>
      </c>
      <c r="K79" s="24">
        <f t="shared" si="7"/>
        <v>39334.410000000003</v>
      </c>
    </row>
    <row r="80" spans="2:12" x14ac:dyDescent="0.25">
      <c r="B80" s="31">
        <v>42628</v>
      </c>
      <c r="C80" s="62" t="s">
        <v>936</v>
      </c>
      <c r="D80" s="23"/>
      <c r="E80" s="23"/>
      <c r="F80" s="23"/>
      <c r="G80" s="23"/>
      <c r="H80" s="23">
        <v>2700</v>
      </c>
      <c r="I80" s="27"/>
      <c r="J80" s="24">
        <f t="shared" si="6"/>
        <v>63373.66</v>
      </c>
      <c r="K80" s="24">
        <f t="shared" si="7"/>
        <v>36634.410000000003</v>
      </c>
    </row>
    <row r="81" spans="2:11" x14ac:dyDescent="0.25">
      <c r="B81" s="31">
        <v>42628</v>
      </c>
      <c r="C81" s="60" t="s">
        <v>935</v>
      </c>
      <c r="D81" s="23"/>
      <c r="E81" s="23"/>
      <c r="F81" s="23"/>
      <c r="G81" s="23"/>
      <c r="H81" s="23">
        <v>29000</v>
      </c>
      <c r="I81" s="27"/>
      <c r="J81" s="24">
        <f t="shared" si="6"/>
        <v>63373.66</v>
      </c>
      <c r="K81" s="24">
        <f t="shared" si="7"/>
        <v>7634.4100000000035</v>
      </c>
    </row>
    <row r="82" spans="2:11" x14ac:dyDescent="0.25">
      <c r="B82" s="31">
        <v>42628</v>
      </c>
      <c r="C82" s="25" t="s">
        <v>937</v>
      </c>
      <c r="D82" s="23"/>
      <c r="E82" s="23"/>
      <c r="F82" s="23"/>
      <c r="G82" s="23"/>
      <c r="H82" s="23">
        <v>4000</v>
      </c>
      <c r="I82" s="27"/>
      <c r="J82" s="24">
        <f t="shared" si="6"/>
        <v>63373.66</v>
      </c>
      <c r="K82" s="24">
        <f t="shared" si="7"/>
        <v>3634.4100000000035</v>
      </c>
    </row>
    <row r="83" spans="2:11" x14ac:dyDescent="0.25">
      <c r="B83" s="31">
        <v>42629</v>
      </c>
      <c r="C83" s="21" t="s">
        <v>938</v>
      </c>
      <c r="D83" s="23"/>
      <c r="E83" s="23"/>
      <c r="F83" s="23"/>
      <c r="G83" s="23"/>
      <c r="H83" s="23">
        <v>1000</v>
      </c>
      <c r="I83" s="27"/>
      <c r="J83" s="24">
        <f t="shared" si="6"/>
        <v>63373.66</v>
      </c>
      <c r="K83" s="24">
        <f t="shared" si="7"/>
        <v>2634.4100000000035</v>
      </c>
    </row>
    <row r="84" spans="2:11" x14ac:dyDescent="0.25">
      <c r="B84" s="31">
        <v>42629</v>
      </c>
      <c r="C84" s="21" t="s">
        <v>939</v>
      </c>
      <c r="D84" s="23"/>
      <c r="E84" s="23"/>
      <c r="F84" s="23"/>
      <c r="G84" s="23"/>
      <c r="H84" s="23">
        <v>500</v>
      </c>
      <c r="I84" s="27"/>
      <c r="J84" s="24">
        <f t="shared" si="6"/>
        <v>63373.66</v>
      </c>
      <c r="K84" s="24">
        <f t="shared" si="7"/>
        <v>2134.4100000000035</v>
      </c>
    </row>
    <row r="85" spans="2:11" x14ac:dyDescent="0.25">
      <c r="B85" s="31">
        <v>42631</v>
      </c>
      <c r="C85" s="21" t="s">
        <v>940</v>
      </c>
      <c r="D85" s="23"/>
      <c r="E85" s="23"/>
      <c r="F85" s="23"/>
      <c r="G85" s="23"/>
      <c r="H85" s="23">
        <v>120</v>
      </c>
      <c r="I85" s="27"/>
      <c r="J85" s="24">
        <f t="shared" si="6"/>
        <v>63373.66</v>
      </c>
      <c r="K85" s="24">
        <f t="shared" si="7"/>
        <v>2014.4100000000035</v>
      </c>
    </row>
    <row r="86" spans="2:11" x14ac:dyDescent="0.25">
      <c r="B86" s="31">
        <v>42631</v>
      </c>
      <c r="C86" s="21" t="s">
        <v>910</v>
      </c>
      <c r="D86" s="23"/>
      <c r="E86" s="23"/>
      <c r="F86" s="23"/>
      <c r="G86" s="23"/>
      <c r="H86" s="23">
        <v>107</v>
      </c>
      <c r="I86" s="27"/>
      <c r="J86" s="24">
        <f t="shared" si="6"/>
        <v>63373.66</v>
      </c>
      <c r="K86" s="24">
        <f t="shared" si="7"/>
        <v>1907.4100000000035</v>
      </c>
    </row>
    <row r="87" spans="2:11" x14ac:dyDescent="0.25">
      <c r="B87" s="31">
        <v>42631</v>
      </c>
      <c r="C87" s="25" t="s">
        <v>942</v>
      </c>
      <c r="D87" s="73"/>
      <c r="E87" s="73"/>
      <c r="F87" s="73"/>
      <c r="G87" s="28">
        <v>2880</v>
      </c>
      <c r="H87" s="23"/>
      <c r="I87" s="27"/>
      <c r="J87" s="24">
        <f t="shared" si="6"/>
        <v>60493.66</v>
      </c>
      <c r="K87" s="24">
        <f t="shared" si="7"/>
        <v>1907.4100000000035</v>
      </c>
    </row>
    <row r="88" spans="2:11" x14ac:dyDescent="0.25">
      <c r="B88" s="31">
        <v>42631</v>
      </c>
      <c r="C88" s="25" t="s">
        <v>941</v>
      </c>
      <c r="D88" s="73"/>
      <c r="E88" s="73"/>
      <c r="F88" s="73"/>
      <c r="G88" s="28">
        <v>3600</v>
      </c>
      <c r="H88" s="23"/>
      <c r="I88" s="27"/>
      <c r="J88" s="24">
        <f t="shared" si="6"/>
        <v>56893.66</v>
      </c>
      <c r="K88" s="24">
        <f t="shared" si="7"/>
        <v>1907.4100000000035</v>
      </c>
    </row>
    <row r="89" spans="2:11" x14ac:dyDescent="0.25">
      <c r="B89" s="31">
        <v>42632</v>
      </c>
      <c r="C89" s="25" t="s">
        <v>958</v>
      </c>
      <c r="D89" s="73">
        <v>24850</v>
      </c>
      <c r="E89" s="73"/>
      <c r="F89" s="73"/>
      <c r="G89" s="28"/>
      <c r="H89" s="23"/>
      <c r="I89" s="27"/>
      <c r="J89" s="24">
        <f t="shared" si="6"/>
        <v>56893.66</v>
      </c>
      <c r="K89" s="24">
        <f t="shared" si="7"/>
        <v>26757.410000000003</v>
      </c>
    </row>
    <row r="90" spans="2:11" x14ac:dyDescent="0.25">
      <c r="B90" s="31">
        <v>42632</v>
      </c>
      <c r="C90" s="25" t="s">
        <v>943</v>
      </c>
      <c r="D90" s="73"/>
      <c r="E90" s="73"/>
      <c r="F90" s="73"/>
      <c r="G90" s="28"/>
      <c r="H90" s="23">
        <v>100</v>
      </c>
      <c r="I90" s="27"/>
      <c r="J90" s="24">
        <f t="shared" si="6"/>
        <v>56893.66</v>
      </c>
      <c r="K90" s="24">
        <f t="shared" si="7"/>
        <v>26657.410000000003</v>
      </c>
    </row>
    <row r="91" spans="2:11" x14ac:dyDescent="0.25">
      <c r="B91" s="31">
        <v>42632</v>
      </c>
      <c r="C91" s="25" t="s">
        <v>943</v>
      </c>
      <c r="D91" s="73"/>
      <c r="E91" s="73"/>
      <c r="F91" s="73"/>
      <c r="G91" s="73"/>
      <c r="H91" s="23">
        <v>400</v>
      </c>
      <c r="I91" s="27"/>
      <c r="J91" s="24">
        <f t="shared" si="6"/>
        <v>56893.66</v>
      </c>
      <c r="K91" s="24">
        <f t="shared" si="7"/>
        <v>26257.410000000003</v>
      </c>
    </row>
    <row r="92" spans="2:11" x14ac:dyDescent="0.25">
      <c r="B92" s="31">
        <v>42632</v>
      </c>
      <c r="C92" s="25" t="s">
        <v>959</v>
      </c>
      <c r="D92" s="73"/>
      <c r="E92" s="73"/>
      <c r="F92" s="73"/>
      <c r="G92" s="73"/>
      <c r="H92" s="23">
        <v>110</v>
      </c>
      <c r="I92" s="27"/>
      <c r="J92" s="24">
        <f t="shared" si="6"/>
        <v>56893.66</v>
      </c>
      <c r="K92" s="24">
        <f t="shared" si="7"/>
        <v>26147.410000000003</v>
      </c>
    </row>
    <row r="93" spans="2:11" x14ac:dyDescent="0.25">
      <c r="B93" s="31">
        <v>42632</v>
      </c>
      <c r="C93" s="21" t="s">
        <v>944</v>
      </c>
      <c r="D93" s="23"/>
      <c r="E93" s="23"/>
      <c r="F93" s="23"/>
      <c r="G93" s="23"/>
      <c r="H93" s="23">
        <v>42</v>
      </c>
      <c r="I93" s="27"/>
      <c r="J93" s="24">
        <f t="shared" si="6"/>
        <v>56893.66</v>
      </c>
      <c r="K93" s="24">
        <f t="shared" si="7"/>
        <v>26105.410000000003</v>
      </c>
    </row>
    <row r="94" spans="2:11" x14ac:dyDescent="0.25">
      <c r="B94" s="31">
        <v>42632</v>
      </c>
      <c r="C94" s="21" t="s">
        <v>945</v>
      </c>
      <c r="D94" s="23"/>
      <c r="E94" s="23"/>
      <c r="F94" s="23"/>
      <c r="G94" s="23"/>
      <c r="H94" s="23">
        <v>349.5</v>
      </c>
      <c r="I94" s="27"/>
      <c r="J94" s="24">
        <f t="shared" si="6"/>
        <v>56893.66</v>
      </c>
      <c r="K94" s="24">
        <f t="shared" si="7"/>
        <v>25755.910000000003</v>
      </c>
    </row>
    <row r="95" spans="2:11" x14ac:dyDescent="0.25">
      <c r="B95" s="31">
        <v>42632</v>
      </c>
      <c r="C95" s="21" t="s">
        <v>946</v>
      </c>
      <c r="D95" s="23"/>
      <c r="E95" s="23"/>
      <c r="F95" s="23"/>
      <c r="G95" s="23"/>
      <c r="H95" s="23">
        <v>330</v>
      </c>
      <c r="I95" s="27"/>
      <c r="J95" s="24">
        <f t="shared" si="6"/>
        <v>56893.66</v>
      </c>
      <c r="K95" s="24">
        <f t="shared" si="7"/>
        <v>25425.910000000003</v>
      </c>
    </row>
    <row r="96" spans="2:11" x14ac:dyDescent="0.25">
      <c r="B96" s="31">
        <v>42632</v>
      </c>
      <c r="C96" s="21" t="s">
        <v>947</v>
      </c>
      <c r="D96" s="23"/>
      <c r="E96" s="23"/>
      <c r="F96" s="23"/>
      <c r="G96" s="23"/>
      <c r="H96" s="23">
        <v>43</v>
      </c>
      <c r="I96" s="27"/>
      <c r="J96" s="24">
        <f t="shared" si="6"/>
        <v>56893.66</v>
      </c>
      <c r="K96" s="24">
        <f t="shared" si="7"/>
        <v>25382.910000000003</v>
      </c>
    </row>
    <row r="97" spans="2:12" x14ac:dyDescent="0.25">
      <c r="B97" s="31">
        <v>42632</v>
      </c>
      <c r="C97" s="21" t="s">
        <v>948</v>
      </c>
      <c r="D97" s="23"/>
      <c r="E97" s="23"/>
      <c r="F97" s="23"/>
      <c r="G97" s="23"/>
      <c r="H97" s="23">
        <v>135</v>
      </c>
      <c r="I97" s="27"/>
      <c r="J97" s="24">
        <f t="shared" si="6"/>
        <v>56893.66</v>
      </c>
      <c r="K97" s="24">
        <f t="shared" si="7"/>
        <v>25247.910000000003</v>
      </c>
    </row>
    <row r="98" spans="2:12" x14ac:dyDescent="0.25">
      <c r="B98" s="31">
        <v>42632</v>
      </c>
      <c r="C98" s="21" t="s">
        <v>949</v>
      </c>
      <c r="D98" s="23"/>
      <c r="E98" s="23"/>
      <c r="F98" s="23"/>
      <c r="G98" s="23"/>
      <c r="H98" s="23">
        <v>120</v>
      </c>
      <c r="I98" s="27"/>
      <c r="J98" s="24">
        <f t="shared" si="6"/>
        <v>56893.66</v>
      </c>
      <c r="K98" s="24">
        <f t="shared" si="7"/>
        <v>25127.910000000003</v>
      </c>
    </row>
    <row r="99" spans="2:12" x14ac:dyDescent="0.25">
      <c r="B99" s="31">
        <v>42633</v>
      </c>
      <c r="C99" s="62" t="s">
        <v>950</v>
      </c>
      <c r="D99" s="23"/>
      <c r="E99" s="23"/>
      <c r="F99" s="23"/>
      <c r="G99" s="23">
        <v>1760</v>
      </c>
      <c r="H99" s="23"/>
      <c r="I99" s="27"/>
      <c r="J99" s="24">
        <f t="shared" si="6"/>
        <v>55133.66</v>
      </c>
      <c r="K99" s="24">
        <f t="shared" si="7"/>
        <v>25127.910000000003</v>
      </c>
    </row>
    <row r="100" spans="2:12" x14ac:dyDescent="0.25">
      <c r="B100" s="31">
        <v>42633</v>
      </c>
      <c r="C100" s="60" t="s">
        <v>951</v>
      </c>
      <c r="D100" s="23"/>
      <c r="E100" s="23"/>
      <c r="F100" s="23"/>
      <c r="G100" s="23">
        <v>1224</v>
      </c>
      <c r="H100" s="23"/>
      <c r="I100" s="27"/>
      <c r="J100" s="24">
        <f t="shared" si="6"/>
        <v>53909.66</v>
      </c>
      <c r="K100" s="24">
        <f t="shared" si="7"/>
        <v>25127.910000000003</v>
      </c>
    </row>
    <row r="101" spans="2:12" x14ac:dyDescent="0.25">
      <c r="B101" s="31">
        <v>42633</v>
      </c>
      <c r="C101" s="21" t="s">
        <v>952</v>
      </c>
      <c r="D101" s="23"/>
      <c r="E101" s="23"/>
      <c r="F101" s="23"/>
      <c r="G101" s="23">
        <v>3080</v>
      </c>
      <c r="H101" s="23"/>
      <c r="I101" s="27"/>
      <c r="J101" s="24">
        <f t="shared" si="6"/>
        <v>50829.66</v>
      </c>
      <c r="K101" s="24">
        <f t="shared" si="7"/>
        <v>25127.910000000003</v>
      </c>
    </row>
    <row r="102" spans="2:12" x14ac:dyDescent="0.25">
      <c r="B102" s="31">
        <v>42634</v>
      </c>
      <c r="C102" s="21" t="s">
        <v>953</v>
      </c>
      <c r="D102" s="23"/>
      <c r="E102" s="23"/>
      <c r="F102" s="23"/>
      <c r="G102" s="23">
        <v>5622</v>
      </c>
      <c r="H102" s="23"/>
      <c r="I102" s="27"/>
      <c r="J102" s="24">
        <f t="shared" si="6"/>
        <v>45207.66</v>
      </c>
      <c r="K102" s="24">
        <f t="shared" si="7"/>
        <v>25127.910000000003</v>
      </c>
    </row>
    <row r="103" spans="2:12" x14ac:dyDescent="0.25">
      <c r="B103" s="31">
        <v>42634</v>
      </c>
      <c r="C103" s="21" t="s">
        <v>954</v>
      </c>
      <c r="D103" s="23"/>
      <c r="E103" s="23"/>
      <c r="F103" s="23"/>
      <c r="G103" s="23">
        <v>3750</v>
      </c>
      <c r="H103" s="23"/>
      <c r="I103" s="27"/>
      <c r="J103" s="24">
        <f t="shared" si="6"/>
        <v>41457.660000000003</v>
      </c>
      <c r="K103" s="24">
        <f t="shared" si="7"/>
        <v>25127.910000000003</v>
      </c>
    </row>
    <row r="104" spans="2:12" x14ac:dyDescent="0.25">
      <c r="B104" s="31">
        <v>42634</v>
      </c>
      <c r="C104" s="21" t="s">
        <v>955</v>
      </c>
      <c r="D104" s="23"/>
      <c r="E104" s="23"/>
      <c r="F104" s="23"/>
      <c r="G104" s="23"/>
      <c r="H104" s="23">
        <v>1000</v>
      </c>
      <c r="I104" s="27"/>
      <c r="J104" s="24">
        <f t="shared" si="6"/>
        <v>41457.660000000003</v>
      </c>
      <c r="K104" s="24">
        <f t="shared" si="7"/>
        <v>24127.910000000003</v>
      </c>
    </row>
    <row r="105" spans="2:12" x14ac:dyDescent="0.25">
      <c r="B105" s="31">
        <v>42634</v>
      </c>
      <c r="C105" s="21" t="s">
        <v>960</v>
      </c>
      <c r="D105" s="23"/>
      <c r="E105" s="23"/>
      <c r="F105" s="23"/>
      <c r="G105" s="23"/>
      <c r="H105" s="23">
        <v>350</v>
      </c>
      <c r="I105" s="27"/>
      <c r="J105" s="24">
        <f t="shared" si="6"/>
        <v>41457.660000000003</v>
      </c>
      <c r="K105" s="24">
        <f t="shared" si="7"/>
        <v>23777.910000000003</v>
      </c>
    </row>
    <row r="106" spans="2:12" x14ac:dyDescent="0.25">
      <c r="B106" s="31">
        <v>42635</v>
      </c>
      <c r="C106" s="21" t="s">
        <v>956</v>
      </c>
      <c r="D106" s="23"/>
      <c r="E106" s="23"/>
      <c r="F106" s="23"/>
      <c r="G106" s="23"/>
      <c r="H106" s="23">
        <v>500</v>
      </c>
      <c r="I106" s="27"/>
      <c r="J106" s="24">
        <f t="shared" si="6"/>
        <v>41457.660000000003</v>
      </c>
      <c r="K106" s="24">
        <f t="shared" si="7"/>
        <v>23277.910000000003</v>
      </c>
    </row>
    <row r="107" spans="2:12" x14ac:dyDescent="0.25">
      <c r="B107" s="31">
        <v>42636</v>
      </c>
      <c r="C107" s="21" t="s">
        <v>957</v>
      </c>
      <c r="D107" s="23"/>
      <c r="E107" s="23"/>
      <c r="F107" s="23"/>
      <c r="G107" s="23"/>
      <c r="H107" s="23">
        <v>50</v>
      </c>
      <c r="I107" s="27"/>
      <c r="J107" s="24">
        <f t="shared" si="6"/>
        <v>41457.660000000003</v>
      </c>
      <c r="K107" s="24">
        <f t="shared" si="7"/>
        <v>23227.910000000003</v>
      </c>
      <c r="L107" s="1"/>
    </row>
    <row r="108" spans="2:12" x14ac:dyDescent="0.25">
      <c r="B108" s="31">
        <v>42636</v>
      </c>
      <c r="C108" s="21" t="s">
        <v>938</v>
      </c>
      <c r="D108" s="23"/>
      <c r="E108" s="23"/>
      <c r="F108" s="23"/>
      <c r="G108" s="23"/>
      <c r="H108" s="23">
        <v>1000</v>
      </c>
      <c r="I108" s="27"/>
      <c r="J108" s="24">
        <f t="shared" si="6"/>
        <v>41457.660000000003</v>
      </c>
      <c r="K108" s="24">
        <f t="shared" si="7"/>
        <v>22227.910000000003</v>
      </c>
    </row>
    <row r="109" spans="2:12" x14ac:dyDescent="0.25">
      <c r="B109" s="31">
        <v>42637</v>
      </c>
      <c r="C109" s="21" t="s">
        <v>961</v>
      </c>
      <c r="D109" s="23"/>
      <c r="E109" s="23"/>
      <c r="F109" s="23"/>
      <c r="G109" s="23"/>
      <c r="H109" s="23">
        <v>500</v>
      </c>
      <c r="I109" s="27"/>
      <c r="J109" s="24">
        <f t="shared" si="6"/>
        <v>41457.660000000003</v>
      </c>
      <c r="K109" s="24">
        <f t="shared" si="7"/>
        <v>21727.910000000003</v>
      </c>
    </row>
    <row r="110" spans="2:12" x14ac:dyDescent="0.25">
      <c r="B110" s="31">
        <v>42637</v>
      </c>
      <c r="C110" s="21" t="s">
        <v>962</v>
      </c>
      <c r="D110" s="23"/>
      <c r="E110" s="23"/>
      <c r="F110" s="23"/>
      <c r="G110" s="23"/>
      <c r="H110" s="23">
        <v>207</v>
      </c>
      <c r="I110" s="27"/>
      <c r="J110" s="24">
        <f t="shared" si="6"/>
        <v>41457.660000000003</v>
      </c>
      <c r="K110" s="24">
        <f t="shared" si="7"/>
        <v>21520.910000000003</v>
      </c>
    </row>
    <row r="111" spans="2:12" ht="15.75" thickBot="1" x14ac:dyDescent="0.3">
      <c r="B111" s="31">
        <v>42637</v>
      </c>
      <c r="C111" s="21" t="s">
        <v>910</v>
      </c>
      <c r="D111" s="23"/>
      <c r="E111" s="23"/>
      <c r="F111" s="23"/>
      <c r="G111" s="23"/>
      <c r="H111" s="23">
        <v>86.5</v>
      </c>
      <c r="I111" s="27"/>
      <c r="J111" s="24">
        <f t="shared" si="6"/>
        <v>41457.660000000003</v>
      </c>
      <c r="K111" s="24">
        <f t="shared" si="7"/>
        <v>21434.410000000003</v>
      </c>
    </row>
    <row r="112" spans="2:12" ht="15.75" thickBot="1" x14ac:dyDescent="0.3">
      <c r="B112" s="13"/>
      <c r="C112" s="16" t="s">
        <v>0</v>
      </c>
      <c r="D112" s="105">
        <f>SUM(D57:D111)</f>
        <v>73825</v>
      </c>
      <c r="E112" s="103">
        <f>SUM(E57:E111)</f>
        <v>0</v>
      </c>
      <c r="F112" s="114">
        <f>SUM(D112:E112)</f>
        <v>73825</v>
      </c>
      <c r="G112" s="126">
        <f>SUM(G59:G111)</f>
        <v>21916</v>
      </c>
      <c r="H112" s="144">
        <f>SUM(H59:H111)</f>
        <v>69796.37</v>
      </c>
      <c r="I112" s="114">
        <f>SUM(G112:H112)</f>
        <v>91712.37</v>
      </c>
      <c r="J112" s="33">
        <v>41457.660000000003</v>
      </c>
      <c r="K112" s="33">
        <v>21434.41</v>
      </c>
    </row>
    <row r="113" spans="2:11" x14ac:dyDescent="0.25">
      <c r="B113" s="111" t="s">
        <v>1</v>
      </c>
      <c r="C113" s="111" t="s">
        <v>2</v>
      </c>
      <c r="D113" s="111" t="s">
        <v>3</v>
      </c>
      <c r="E113" s="111" t="s">
        <v>3</v>
      </c>
      <c r="F113" s="111" t="s">
        <v>323</v>
      </c>
      <c r="G113" s="111" t="s">
        <v>324</v>
      </c>
      <c r="H113" s="81" t="s">
        <v>324</v>
      </c>
      <c r="I113" s="81" t="s">
        <v>323</v>
      </c>
      <c r="J113" s="111" t="s">
        <v>174</v>
      </c>
      <c r="K113" s="81" t="s">
        <v>173</v>
      </c>
    </row>
    <row r="114" spans="2:11" ht="15.75" thickBot="1" x14ac:dyDescent="0.3">
      <c r="B114" s="112"/>
      <c r="C114" s="112"/>
      <c r="D114" s="112" t="s">
        <v>6</v>
      </c>
      <c r="E114" s="112" t="s">
        <v>325</v>
      </c>
      <c r="F114" s="112" t="s">
        <v>3</v>
      </c>
      <c r="G114" s="112" t="s">
        <v>325</v>
      </c>
      <c r="H114" s="113" t="s">
        <v>6</v>
      </c>
      <c r="I114" s="113" t="s">
        <v>5</v>
      </c>
      <c r="J114" s="112"/>
      <c r="K114" s="113"/>
    </row>
    <row r="115" spans="2:11" ht="15.75" thickBot="1" x14ac:dyDescent="0.3">
      <c r="B115" s="13"/>
      <c r="C115" s="16" t="s">
        <v>0</v>
      </c>
      <c r="D115" s="105">
        <v>73825</v>
      </c>
      <c r="E115" s="103">
        <v>0</v>
      </c>
      <c r="F115" s="114">
        <f>SUM(D115:E115)</f>
        <v>73825</v>
      </c>
      <c r="G115" s="126">
        <v>21916</v>
      </c>
      <c r="H115" s="105">
        <v>69796.37</v>
      </c>
      <c r="I115" s="114">
        <f>SUM(G115:H115)</f>
        <v>91712.37</v>
      </c>
      <c r="J115" s="32">
        <v>41457.660000000003</v>
      </c>
      <c r="K115" s="32">
        <v>21434.41</v>
      </c>
    </row>
    <row r="116" spans="2:11" x14ac:dyDescent="0.25">
      <c r="B116" s="31">
        <v>42638</v>
      </c>
      <c r="C116" s="21" t="s">
        <v>963</v>
      </c>
      <c r="D116" s="23"/>
      <c r="E116" s="23"/>
      <c r="F116" s="23"/>
      <c r="G116" s="23"/>
      <c r="H116" s="23">
        <v>120</v>
      </c>
      <c r="I116" s="27"/>
      <c r="J116" s="24">
        <f>+J115+E116-G116</f>
        <v>41457.660000000003</v>
      </c>
      <c r="K116" s="24">
        <f>+K115+D116-H116</f>
        <v>21314.41</v>
      </c>
    </row>
    <row r="117" spans="2:11" x14ac:dyDescent="0.25">
      <c r="B117" s="31">
        <v>42638</v>
      </c>
      <c r="C117" s="21" t="s">
        <v>964</v>
      </c>
      <c r="D117" s="23"/>
      <c r="E117" s="23"/>
      <c r="F117" s="23"/>
      <c r="G117" s="23"/>
      <c r="H117" s="23">
        <v>150</v>
      </c>
      <c r="I117" s="27"/>
      <c r="J117" s="24">
        <f t="shared" ref="J117:J139" si="8">+J116+E117-G117</f>
        <v>41457.660000000003</v>
      </c>
      <c r="K117" s="24">
        <f t="shared" ref="K117:K139" si="9">+K116+D117-H117</f>
        <v>21164.41</v>
      </c>
    </row>
    <row r="118" spans="2:11" x14ac:dyDescent="0.25">
      <c r="B118" s="31">
        <v>42638</v>
      </c>
      <c r="C118" s="21" t="s">
        <v>965</v>
      </c>
      <c r="D118" s="23"/>
      <c r="E118" s="23"/>
      <c r="F118" s="23"/>
      <c r="G118" s="23"/>
      <c r="H118" s="23">
        <v>500</v>
      </c>
      <c r="I118" s="27"/>
      <c r="J118" s="24">
        <f t="shared" si="8"/>
        <v>41457.660000000003</v>
      </c>
      <c r="K118" s="24">
        <f t="shared" si="9"/>
        <v>20664.41</v>
      </c>
    </row>
    <row r="119" spans="2:11" x14ac:dyDescent="0.25">
      <c r="B119" s="31">
        <v>42638</v>
      </c>
      <c r="C119" s="21" t="s">
        <v>966</v>
      </c>
      <c r="D119" s="23"/>
      <c r="E119" s="23"/>
      <c r="F119" s="23"/>
      <c r="G119" s="23"/>
      <c r="H119" s="23">
        <v>500</v>
      </c>
      <c r="I119" s="27"/>
      <c r="J119" s="24">
        <f t="shared" si="8"/>
        <v>41457.660000000003</v>
      </c>
      <c r="K119" s="24">
        <f t="shared" si="9"/>
        <v>20164.41</v>
      </c>
    </row>
    <row r="120" spans="2:11" x14ac:dyDescent="0.25">
      <c r="B120" s="31">
        <v>42638</v>
      </c>
      <c r="C120" s="21" t="s">
        <v>967</v>
      </c>
      <c r="D120" s="23"/>
      <c r="E120" s="23"/>
      <c r="F120" s="23"/>
      <c r="G120" s="23"/>
      <c r="H120" s="23">
        <v>150</v>
      </c>
      <c r="I120" s="27"/>
      <c r="J120" s="24">
        <f t="shared" si="8"/>
        <v>41457.660000000003</v>
      </c>
      <c r="K120" s="24">
        <f t="shared" si="9"/>
        <v>20014.41</v>
      </c>
    </row>
    <row r="121" spans="2:11" x14ac:dyDescent="0.25">
      <c r="B121" s="31">
        <v>42639</v>
      </c>
      <c r="C121" s="21" t="s">
        <v>975</v>
      </c>
      <c r="D121" s="23">
        <v>17150</v>
      </c>
      <c r="E121" s="23"/>
      <c r="F121" s="23"/>
      <c r="G121" s="23"/>
      <c r="H121" s="23"/>
      <c r="I121" s="27"/>
      <c r="J121" s="24">
        <f t="shared" si="8"/>
        <v>41457.660000000003</v>
      </c>
      <c r="K121" s="24">
        <f t="shared" si="9"/>
        <v>37164.410000000003</v>
      </c>
    </row>
    <row r="122" spans="2:11" x14ac:dyDescent="0.25">
      <c r="B122" s="31">
        <v>42639</v>
      </c>
      <c r="C122" s="21" t="s">
        <v>968</v>
      </c>
      <c r="D122" s="23"/>
      <c r="E122" s="23"/>
      <c r="F122" s="23"/>
      <c r="G122" s="23"/>
      <c r="H122" s="23">
        <v>280</v>
      </c>
      <c r="I122" s="27"/>
      <c r="J122" s="24">
        <f t="shared" si="8"/>
        <v>41457.660000000003</v>
      </c>
      <c r="K122" s="24">
        <f t="shared" si="9"/>
        <v>36884.410000000003</v>
      </c>
    </row>
    <row r="123" spans="2:11" x14ac:dyDescent="0.25">
      <c r="B123" s="31">
        <v>42639</v>
      </c>
      <c r="C123" s="21" t="s">
        <v>969</v>
      </c>
      <c r="D123" s="23"/>
      <c r="E123" s="23"/>
      <c r="F123" s="23"/>
      <c r="G123" s="23"/>
      <c r="H123" s="23">
        <v>400</v>
      </c>
      <c r="I123" s="27"/>
      <c r="J123" s="24">
        <f t="shared" si="8"/>
        <v>41457.660000000003</v>
      </c>
      <c r="K123" s="24">
        <f t="shared" si="9"/>
        <v>36484.410000000003</v>
      </c>
    </row>
    <row r="124" spans="2:11" x14ac:dyDescent="0.25">
      <c r="B124" s="31">
        <v>42639</v>
      </c>
      <c r="C124" s="21" t="s">
        <v>970</v>
      </c>
      <c r="D124" s="23"/>
      <c r="E124" s="23"/>
      <c r="F124" s="23"/>
      <c r="G124" s="23"/>
      <c r="H124" s="23">
        <v>66</v>
      </c>
      <c r="I124" s="27"/>
      <c r="J124" s="24">
        <f t="shared" si="8"/>
        <v>41457.660000000003</v>
      </c>
      <c r="K124" s="24">
        <f t="shared" si="9"/>
        <v>36418.410000000003</v>
      </c>
    </row>
    <row r="125" spans="2:11" x14ac:dyDescent="0.25">
      <c r="B125" s="31">
        <v>42639</v>
      </c>
      <c r="C125" s="21" t="s">
        <v>971</v>
      </c>
      <c r="D125" s="23"/>
      <c r="E125" s="23"/>
      <c r="F125" s="23"/>
      <c r="G125" s="23"/>
      <c r="H125" s="23">
        <v>279.60000000000002</v>
      </c>
      <c r="I125" s="27"/>
      <c r="J125" s="24">
        <f t="shared" si="8"/>
        <v>41457.660000000003</v>
      </c>
      <c r="K125" s="24">
        <f t="shared" si="9"/>
        <v>36138.810000000005</v>
      </c>
    </row>
    <row r="126" spans="2:11" x14ac:dyDescent="0.25">
      <c r="B126" s="31">
        <v>42641</v>
      </c>
      <c r="C126" s="21" t="s">
        <v>972</v>
      </c>
      <c r="D126" s="23"/>
      <c r="E126" s="23"/>
      <c r="F126" s="23"/>
      <c r="G126" s="23"/>
      <c r="H126" s="23">
        <v>350</v>
      </c>
      <c r="I126" s="27"/>
      <c r="J126" s="24">
        <f t="shared" si="8"/>
        <v>41457.660000000003</v>
      </c>
      <c r="K126" s="24">
        <f t="shared" si="9"/>
        <v>35788.810000000005</v>
      </c>
    </row>
    <row r="127" spans="2:11" x14ac:dyDescent="0.25">
      <c r="B127" s="31">
        <v>42641</v>
      </c>
      <c r="C127" s="21" t="s">
        <v>973</v>
      </c>
      <c r="D127" s="23"/>
      <c r="E127" s="23"/>
      <c r="F127" s="23"/>
      <c r="G127" s="23"/>
      <c r="H127" s="23">
        <v>300</v>
      </c>
      <c r="I127" s="27"/>
      <c r="J127" s="24">
        <f t="shared" si="8"/>
        <v>41457.660000000003</v>
      </c>
      <c r="K127" s="24">
        <f t="shared" si="9"/>
        <v>35488.810000000005</v>
      </c>
    </row>
    <row r="128" spans="2:11" x14ac:dyDescent="0.25">
      <c r="B128" s="31">
        <v>42641</v>
      </c>
      <c r="C128" s="21" t="s">
        <v>974</v>
      </c>
      <c r="D128" s="23"/>
      <c r="E128" s="23"/>
      <c r="F128" s="23"/>
      <c r="G128" s="23"/>
      <c r="H128" s="23">
        <v>130</v>
      </c>
      <c r="I128" s="27"/>
      <c r="J128" s="24">
        <f t="shared" si="8"/>
        <v>41457.660000000003</v>
      </c>
      <c r="K128" s="24">
        <f t="shared" si="9"/>
        <v>35358.810000000005</v>
      </c>
    </row>
    <row r="129" spans="2:11" x14ac:dyDescent="0.25">
      <c r="B129" s="31">
        <v>42643</v>
      </c>
      <c r="C129" s="21" t="s">
        <v>976</v>
      </c>
      <c r="D129" s="23"/>
      <c r="E129" s="23"/>
      <c r="F129" s="23"/>
      <c r="G129" s="23"/>
      <c r="H129" s="23">
        <v>500</v>
      </c>
      <c r="I129" s="27"/>
      <c r="J129" s="24">
        <f t="shared" si="8"/>
        <v>41457.660000000003</v>
      </c>
      <c r="K129" s="24">
        <f t="shared" si="9"/>
        <v>34858.810000000005</v>
      </c>
    </row>
    <row r="130" spans="2:11" x14ac:dyDescent="0.25">
      <c r="B130" s="31">
        <v>42643</v>
      </c>
      <c r="C130" s="21" t="s">
        <v>977</v>
      </c>
      <c r="D130" s="23"/>
      <c r="E130" s="23"/>
      <c r="F130" s="23"/>
      <c r="G130" s="23"/>
      <c r="H130" s="23">
        <v>450</v>
      </c>
      <c r="I130" s="27"/>
      <c r="J130" s="24">
        <f t="shared" si="8"/>
        <v>41457.660000000003</v>
      </c>
      <c r="K130" s="24">
        <f t="shared" si="9"/>
        <v>34408.810000000005</v>
      </c>
    </row>
    <row r="131" spans="2:11" x14ac:dyDescent="0.25">
      <c r="B131" s="31">
        <v>42643</v>
      </c>
      <c r="C131" s="21" t="s">
        <v>978</v>
      </c>
      <c r="D131" s="23"/>
      <c r="E131" s="23"/>
      <c r="F131" s="23"/>
      <c r="G131" s="23"/>
      <c r="H131" s="23">
        <v>350</v>
      </c>
      <c r="I131" s="27"/>
      <c r="J131" s="24">
        <f t="shared" si="8"/>
        <v>41457.660000000003</v>
      </c>
      <c r="K131" s="24">
        <f t="shared" si="9"/>
        <v>34058.810000000005</v>
      </c>
    </row>
    <row r="132" spans="2:11" x14ac:dyDescent="0.25">
      <c r="B132" s="31">
        <v>42643</v>
      </c>
      <c r="C132" s="21" t="s">
        <v>979</v>
      </c>
      <c r="D132" s="23"/>
      <c r="E132" s="23"/>
      <c r="F132" s="23"/>
      <c r="G132" s="23"/>
      <c r="H132" s="23">
        <v>180</v>
      </c>
      <c r="I132" s="27"/>
      <c r="J132" s="24">
        <f t="shared" si="8"/>
        <v>41457.660000000003</v>
      </c>
      <c r="K132" s="24">
        <f t="shared" si="9"/>
        <v>33878.810000000005</v>
      </c>
    </row>
    <row r="133" spans="2:11" x14ac:dyDescent="0.25">
      <c r="B133" s="31">
        <v>42643</v>
      </c>
      <c r="C133" s="21" t="s">
        <v>980</v>
      </c>
      <c r="D133" s="23"/>
      <c r="E133" s="23"/>
      <c r="F133" s="23"/>
      <c r="G133" s="23"/>
      <c r="H133" s="23">
        <v>1000</v>
      </c>
      <c r="I133" s="27"/>
      <c r="J133" s="24">
        <f t="shared" si="8"/>
        <v>41457.660000000003</v>
      </c>
      <c r="K133" s="24">
        <f t="shared" si="9"/>
        <v>32878.810000000005</v>
      </c>
    </row>
    <row r="134" spans="2:11" x14ac:dyDescent="0.25">
      <c r="B134" s="31">
        <v>42643</v>
      </c>
      <c r="C134" s="21" t="s">
        <v>981</v>
      </c>
      <c r="D134" s="73"/>
      <c r="E134" s="73"/>
      <c r="F134" s="73"/>
      <c r="G134" s="73"/>
      <c r="H134" s="23">
        <v>500</v>
      </c>
      <c r="I134" s="27"/>
      <c r="J134" s="24">
        <f t="shared" si="8"/>
        <v>41457.660000000003</v>
      </c>
      <c r="K134" s="24">
        <f t="shared" si="9"/>
        <v>32378.810000000005</v>
      </c>
    </row>
    <row r="135" spans="2:11" x14ac:dyDescent="0.25">
      <c r="B135" s="31">
        <v>42643</v>
      </c>
      <c r="C135" s="25" t="s">
        <v>982</v>
      </c>
      <c r="D135" s="73"/>
      <c r="E135" s="73"/>
      <c r="F135" s="73"/>
      <c r="G135" s="28"/>
      <c r="H135" s="23">
        <v>350</v>
      </c>
      <c r="I135" s="27"/>
      <c r="J135" s="24">
        <f t="shared" si="8"/>
        <v>41457.660000000003</v>
      </c>
      <c r="K135" s="24">
        <f t="shared" si="9"/>
        <v>32028.810000000005</v>
      </c>
    </row>
    <row r="136" spans="2:11" x14ac:dyDescent="0.25">
      <c r="B136" s="31">
        <v>42643</v>
      </c>
      <c r="C136" s="25" t="s">
        <v>983</v>
      </c>
      <c r="D136" s="73"/>
      <c r="E136" s="73"/>
      <c r="F136" s="73"/>
      <c r="G136" s="73"/>
      <c r="H136" s="23">
        <v>100</v>
      </c>
      <c r="I136" s="27"/>
      <c r="J136" s="24">
        <f t="shared" si="8"/>
        <v>41457.660000000003</v>
      </c>
      <c r="K136" s="24">
        <f t="shared" si="9"/>
        <v>31928.810000000005</v>
      </c>
    </row>
    <row r="137" spans="2:11" x14ac:dyDescent="0.25">
      <c r="B137" s="31">
        <v>42643</v>
      </c>
      <c r="C137" s="25" t="s">
        <v>984</v>
      </c>
      <c r="D137" s="73"/>
      <c r="E137" s="73"/>
      <c r="F137" s="73"/>
      <c r="G137" s="73"/>
      <c r="H137" s="23">
        <v>509.49</v>
      </c>
      <c r="I137" s="27"/>
      <c r="J137" s="24">
        <f t="shared" si="8"/>
        <v>41457.660000000003</v>
      </c>
      <c r="K137" s="24">
        <f t="shared" si="9"/>
        <v>31419.320000000003</v>
      </c>
    </row>
    <row r="138" spans="2:11" x14ac:dyDescent="0.25">
      <c r="B138" s="31">
        <v>42643</v>
      </c>
      <c r="C138" s="60" t="s">
        <v>985</v>
      </c>
      <c r="D138" s="23"/>
      <c r="E138" s="23"/>
      <c r="F138" s="23"/>
      <c r="G138" s="23"/>
      <c r="H138" s="23">
        <v>29000</v>
      </c>
      <c r="I138" s="27"/>
      <c r="J138" s="24">
        <f t="shared" si="8"/>
        <v>41457.660000000003</v>
      </c>
      <c r="K138" s="24">
        <f t="shared" si="9"/>
        <v>2419.3200000000033</v>
      </c>
    </row>
    <row r="139" spans="2:11" x14ac:dyDescent="0.25">
      <c r="B139" s="31">
        <v>42643</v>
      </c>
      <c r="C139" s="25" t="s">
        <v>986</v>
      </c>
      <c r="D139" s="23"/>
      <c r="E139" s="23"/>
      <c r="F139" s="23"/>
      <c r="G139" s="23"/>
      <c r="H139" s="23">
        <v>4000</v>
      </c>
      <c r="I139" s="27"/>
      <c r="J139" s="24">
        <f t="shared" si="8"/>
        <v>41457.660000000003</v>
      </c>
      <c r="K139" s="24">
        <f t="shared" si="9"/>
        <v>-1580.6799999999967</v>
      </c>
    </row>
    <row r="140" spans="2:11" x14ac:dyDescent="0.25">
      <c r="B140" s="31">
        <v>42643</v>
      </c>
      <c r="C140" s="21" t="s">
        <v>975</v>
      </c>
      <c r="D140" s="23">
        <v>3800</v>
      </c>
      <c r="E140" s="23"/>
      <c r="F140" s="23"/>
      <c r="G140" s="23"/>
      <c r="H140" s="23"/>
      <c r="I140" s="27"/>
      <c r="J140" s="24">
        <f t="shared" ref="J140:J144" si="10">+J139+E140-G140</f>
        <v>41457.660000000003</v>
      </c>
      <c r="K140" s="24">
        <f t="shared" ref="K140:K144" si="11">+K139+D140-H140</f>
        <v>2219.3200000000033</v>
      </c>
    </row>
    <row r="141" spans="2:11" x14ac:dyDescent="0.25">
      <c r="B141" s="31">
        <v>42616</v>
      </c>
      <c r="C141" s="21" t="s">
        <v>987</v>
      </c>
      <c r="D141" s="23"/>
      <c r="E141" s="23">
        <v>300.45999999999998</v>
      </c>
      <c r="F141" s="23"/>
      <c r="G141" s="23"/>
      <c r="H141" s="23"/>
      <c r="I141" s="27"/>
      <c r="J141" s="24">
        <f t="shared" si="10"/>
        <v>41758.120000000003</v>
      </c>
      <c r="K141" s="24">
        <f t="shared" si="11"/>
        <v>2219.3200000000033</v>
      </c>
    </row>
    <row r="142" spans="2:11" x14ac:dyDescent="0.25">
      <c r="B142" s="31">
        <v>42634</v>
      </c>
      <c r="C142" s="21" t="s">
        <v>988</v>
      </c>
      <c r="D142" s="23"/>
      <c r="E142" s="23">
        <v>12760</v>
      </c>
      <c r="F142" s="23"/>
      <c r="G142" s="23"/>
      <c r="H142" s="23"/>
      <c r="I142" s="27"/>
      <c r="J142" s="24">
        <f t="shared" si="10"/>
        <v>54518.12</v>
      </c>
      <c r="K142" s="24">
        <f t="shared" si="11"/>
        <v>2219.3200000000033</v>
      </c>
    </row>
    <row r="143" spans="2:11" x14ac:dyDescent="0.25">
      <c r="B143" s="31">
        <v>42643</v>
      </c>
      <c r="C143" s="21" t="s">
        <v>989</v>
      </c>
      <c r="D143" s="23"/>
      <c r="E143" s="23"/>
      <c r="F143" s="23"/>
      <c r="G143" s="23">
        <v>98</v>
      </c>
      <c r="H143" s="23"/>
      <c r="I143" s="27"/>
      <c r="J143" s="24">
        <f t="shared" si="10"/>
        <v>54420.12</v>
      </c>
      <c r="K143" s="24">
        <f t="shared" si="11"/>
        <v>2219.3200000000033</v>
      </c>
    </row>
    <row r="144" spans="2:11" ht="15.75" thickBot="1" x14ac:dyDescent="0.3">
      <c r="B144" s="31">
        <v>42643</v>
      </c>
      <c r="C144" s="21" t="s">
        <v>990</v>
      </c>
      <c r="D144" s="23"/>
      <c r="E144" s="23"/>
      <c r="F144" s="23"/>
      <c r="G144" s="23">
        <v>15.68</v>
      </c>
      <c r="H144" s="92"/>
      <c r="I144" s="27"/>
      <c r="J144" s="24">
        <f t="shared" si="10"/>
        <v>54404.44</v>
      </c>
      <c r="K144" s="24">
        <f t="shared" si="11"/>
        <v>2219.3200000000033</v>
      </c>
    </row>
    <row r="145" spans="2:11" ht="15.75" thickBot="1" x14ac:dyDescent="0.3">
      <c r="B145" s="13"/>
      <c r="C145" s="16" t="s">
        <v>0</v>
      </c>
      <c r="D145" s="105">
        <f>SUM(D115:D144)</f>
        <v>94775</v>
      </c>
      <c r="E145" s="103">
        <f>SUM(E115:E144)</f>
        <v>13060.46</v>
      </c>
      <c r="F145" s="114">
        <f>SUM(D145:E145)</f>
        <v>107835.45999999999</v>
      </c>
      <c r="G145" s="126">
        <f>SUM(G115:G144)</f>
        <v>22029.68</v>
      </c>
      <c r="H145" s="105">
        <f>SUM(H115:H144)</f>
        <v>109961.46</v>
      </c>
      <c r="I145" s="114">
        <f>SUM(G145:H145)</f>
        <v>131991.14000000001</v>
      </c>
      <c r="J145" s="33"/>
      <c r="K145" s="33"/>
    </row>
    <row r="147" spans="2:11" ht="15.75" thickBot="1" x14ac:dyDescent="0.3"/>
    <row r="148" spans="2:11" ht="15.75" thickBot="1" x14ac:dyDescent="0.3">
      <c r="I148" s="117" t="s">
        <v>174</v>
      </c>
      <c r="J148" s="117" t="s">
        <v>173</v>
      </c>
      <c r="K148" s="141" t="s">
        <v>0</v>
      </c>
    </row>
    <row r="149" spans="2:11" ht="15.75" thickBot="1" x14ac:dyDescent="0.3">
      <c r="I149" s="120">
        <v>54404.44</v>
      </c>
      <c r="J149" s="120">
        <v>2219.3200000000002</v>
      </c>
      <c r="K149" s="33">
        <f>SUM(I149:J149)</f>
        <v>56623.76</v>
      </c>
    </row>
  </sheetData>
  <printOptions verticalCentered="1"/>
  <pageMargins left="0.59055118110236227" right="0.59055118110236227" top="0" bottom="0" header="0.31496062992125984" footer="0.31496062992125984"/>
  <pageSetup paperSize="9" scale="71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B1:L154"/>
  <sheetViews>
    <sheetView zoomScale="90" zoomScaleNormal="90" workbookViewId="0">
      <pane ySplit="3" topLeftCell="A142" activePane="bottomLeft" state="frozen"/>
      <selection pane="bottomLeft" activeCell="C147" sqref="C147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6" width="11.7109375" customWidth="1"/>
  </cols>
  <sheetData>
    <row r="1" spans="2:11" ht="15.75" thickBot="1" x14ac:dyDescent="0.3">
      <c r="B1" s="125"/>
      <c r="C1" s="145" t="s">
        <v>991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1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42643</v>
      </c>
      <c r="C4" s="108" t="s">
        <v>1116</v>
      </c>
      <c r="D4" s="109"/>
      <c r="E4" s="106"/>
      <c r="F4" s="106"/>
      <c r="G4" s="106"/>
      <c r="H4" s="30"/>
      <c r="I4" s="107"/>
      <c r="J4" s="116">
        <v>54404.44</v>
      </c>
      <c r="K4" s="143">
        <v>2219.3200000000002</v>
      </c>
    </row>
    <row r="5" spans="2:11" x14ac:dyDescent="0.25">
      <c r="B5" s="36">
        <v>42644</v>
      </c>
      <c r="C5" s="21" t="s">
        <v>992</v>
      </c>
      <c r="D5" s="23"/>
      <c r="E5" s="23"/>
      <c r="F5" s="23"/>
      <c r="G5" s="23"/>
      <c r="H5" s="23">
        <v>30</v>
      </c>
      <c r="I5" s="27"/>
      <c r="J5" s="24">
        <f>+J4+E5-G5</f>
        <v>54404.44</v>
      </c>
      <c r="K5" s="24">
        <f t="shared" ref="K5:K52" si="0">+K4+D5-H5</f>
        <v>2189.3200000000002</v>
      </c>
    </row>
    <row r="6" spans="2:11" x14ac:dyDescent="0.25">
      <c r="B6" s="36">
        <v>42645</v>
      </c>
      <c r="C6" s="25" t="s">
        <v>993</v>
      </c>
      <c r="D6" s="23"/>
      <c r="E6" s="23"/>
      <c r="F6" s="23"/>
      <c r="G6" s="23"/>
      <c r="H6" s="23">
        <v>120.5</v>
      </c>
      <c r="I6" s="27"/>
      <c r="J6" s="24">
        <f t="shared" ref="J6:J52" si="1">+J5+E6-G6</f>
        <v>54404.44</v>
      </c>
      <c r="K6" s="24">
        <f t="shared" si="0"/>
        <v>2068.8200000000002</v>
      </c>
    </row>
    <row r="7" spans="2:11" x14ac:dyDescent="0.25">
      <c r="B7" s="31">
        <v>42645</v>
      </c>
      <c r="C7" s="21" t="s">
        <v>1071</v>
      </c>
      <c r="D7" s="23"/>
      <c r="E7" s="23"/>
      <c r="F7" s="23"/>
      <c r="G7" s="23"/>
      <c r="H7" s="92">
        <v>500</v>
      </c>
      <c r="I7" s="27"/>
      <c r="J7" s="24">
        <f t="shared" si="1"/>
        <v>54404.44</v>
      </c>
      <c r="K7" s="24">
        <f t="shared" si="0"/>
        <v>1568.8200000000002</v>
      </c>
    </row>
    <row r="8" spans="2:11" x14ac:dyDescent="0.25">
      <c r="B8" s="31">
        <v>42645</v>
      </c>
      <c r="C8" s="25" t="s">
        <v>994</v>
      </c>
      <c r="D8" s="23"/>
      <c r="E8" s="23"/>
      <c r="F8" s="23"/>
      <c r="G8" s="23"/>
      <c r="H8" s="23">
        <v>120</v>
      </c>
      <c r="I8" s="27"/>
      <c r="J8" s="24">
        <f t="shared" si="1"/>
        <v>54404.44</v>
      </c>
      <c r="K8" s="24">
        <f t="shared" si="0"/>
        <v>1448.8200000000002</v>
      </c>
    </row>
    <row r="9" spans="2:11" x14ac:dyDescent="0.25">
      <c r="B9" s="31">
        <v>42646</v>
      </c>
      <c r="C9" s="21" t="s">
        <v>819</v>
      </c>
      <c r="D9" s="23"/>
      <c r="E9" s="23"/>
      <c r="F9" s="23"/>
      <c r="G9" s="23"/>
      <c r="H9" s="92">
        <v>280</v>
      </c>
      <c r="I9" s="27"/>
      <c r="J9" s="24">
        <f t="shared" si="1"/>
        <v>54404.44</v>
      </c>
      <c r="K9" s="24">
        <f t="shared" si="0"/>
        <v>1168.8200000000002</v>
      </c>
    </row>
    <row r="10" spans="2:11" x14ac:dyDescent="0.25">
      <c r="B10" s="31">
        <v>42646</v>
      </c>
      <c r="C10" s="21" t="s">
        <v>1072</v>
      </c>
      <c r="D10" s="23"/>
      <c r="E10" s="23"/>
      <c r="F10" s="23"/>
      <c r="G10" s="23"/>
      <c r="H10" s="23">
        <v>45</v>
      </c>
      <c r="I10" s="27"/>
      <c r="J10" s="24">
        <f t="shared" si="1"/>
        <v>54404.44</v>
      </c>
      <c r="K10" s="24">
        <f t="shared" si="0"/>
        <v>1123.8200000000002</v>
      </c>
    </row>
    <row r="11" spans="2:11" x14ac:dyDescent="0.25">
      <c r="B11" s="31">
        <v>42646</v>
      </c>
      <c r="C11" s="21" t="s">
        <v>995</v>
      </c>
      <c r="D11" s="23"/>
      <c r="E11" s="23"/>
      <c r="F11" s="23"/>
      <c r="G11" s="23"/>
      <c r="H11" s="23">
        <v>400</v>
      </c>
      <c r="I11" s="27"/>
      <c r="J11" s="24">
        <f t="shared" si="1"/>
        <v>54404.44</v>
      </c>
      <c r="K11" s="24">
        <f t="shared" si="0"/>
        <v>723.82000000000016</v>
      </c>
    </row>
    <row r="12" spans="2:11" x14ac:dyDescent="0.25">
      <c r="B12" s="31">
        <v>42646</v>
      </c>
      <c r="C12" s="21" t="s">
        <v>997</v>
      </c>
      <c r="D12" s="23">
        <v>24325</v>
      </c>
      <c r="E12" s="23"/>
      <c r="F12" s="23"/>
      <c r="G12" s="23"/>
      <c r="H12" s="23"/>
      <c r="I12" s="27"/>
      <c r="J12" s="24">
        <f t="shared" si="1"/>
        <v>54404.44</v>
      </c>
      <c r="K12" s="24">
        <f t="shared" si="0"/>
        <v>25048.82</v>
      </c>
    </row>
    <row r="13" spans="2:11" x14ac:dyDescent="0.25">
      <c r="B13" s="31">
        <v>42648</v>
      </c>
      <c r="C13" s="21" t="s">
        <v>996</v>
      </c>
      <c r="D13" s="23"/>
      <c r="E13" s="23"/>
      <c r="F13" s="23"/>
      <c r="G13" s="23"/>
      <c r="H13" s="92">
        <v>791</v>
      </c>
      <c r="I13" s="27"/>
      <c r="J13" s="24">
        <f t="shared" si="1"/>
        <v>54404.44</v>
      </c>
      <c r="K13" s="24">
        <f t="shared" si="0"/>
        <v>24257.82</v>
      </c>
    </row>
    <row r="14" spans="2:11" x14ac:dyDescent="0.25">
      <c r="B14" s="31">
        <v>42648</v>
      </c>
      <c r="C14" s="21" t="s">
        <v>998</v>
      </c>
      <c r="D14" s="23"/>
      <c r="E14" s="23"/>
      <c r="F14" s="23"/>
      <c r="G14" s="23"/>
      <c r="H14" s="23">
        <v>400.9</v>
      </c>
      <c r="I14" s="27"/>
      <c r="J14" s="24">
        <f t="shared" si="1"/>
        <v>54404.44</v>
      </c>
      <c r="K14" s="24">
        <f t="shared" si="0"/>
        <v>23856.92</v>
      </c>
    </row>
    <row r="15" spans="2:11" x14ac:dyDescent="0.25">
      <c r="B15" s="31">
        <v>42648</v>
      </c>
      <c r="C15" s="21" t="s">
        <v>1073</v>
      </c>
      <c r="D15" s="23"/>
      <c r="E15" s="23"/>
      <c r="F15" s="23"/>
      <c r="G15" s="23"/>
      <c r="H15" s="92">
        <v>246.7</v>
      </c>
      <c r="I15" s="27"/>
      <c r="J15" s="24">
        <f t="shared" si="1"/>
        <v>54404.44</v>
      </c>
      <c r="K15" s="24">
        <f t="shared" si="0"/>
        <v>23610.219999999998</v>
      </c>
    </row>
    <row r="16" spans="2:11" x14ac:dyDescent="0.25">
      <c r="B16" s="31">
        <v>42648</v>
      </c>
      <c r="C16" s="21" t="s">
        <v>999</v>
      </c>
      <c r="D16" s="23"/>
      <c r="E16" s="23"/>
      <c r="F16" s="23"/>
      <c r="G16" s="23"/>
      <c r="H16" s="23">
        <v>10</v>
      </c>
      <c r="I16" s="27"/>
      <c r="J16" s="24">
        <f t="shared" si="1"/>
        <v>54404.44</v>
      </c>
      <c r="K16" s="24">
        <f t="shared" si="0"/>
        <v>23600.219999999998</v>
      </c>
    </row>
    <row r="17" spans="2:11" x14ac:dyDescent="0.25">
      <c r="B17" s="31">
        <v>42649</v>
      </c>
      <c r="C17" s="21" t="s">
        <v>1074</v>
      </c>
      <c r="D17" s="23"/>
      <c r="E17" s="23"/>
      <c r="F17" s="23"/>
      <c r="G17" s="23"/>
      <c r="H17" s="23">
        <v>37.9</v>
      </c>
      <c r="I17" s="27"/>
      <c r="J17" s="24">
        <f t="shared" si="1"/>
        <v>54404.44</v>
      </c>
      <c r="K17" s="24">
        <f t="shared" si="0"/>
        <v>23562.319999999996</v>
      </c>
    </row>
    <row r="18" spans="2:11" x14ac:dyDescent="0.25">
      <c r="B18" s="31">
        <v>42649</v>
      </c>
      <c r="C18" s="21" t="s">
        <v>1000</v>
      </c>
      <c r="D18" s="23"/>
      <c r="E18" s="23"/>
      <c r="F18" s="23"/>
      <c r="G18" s="23"/>
      <c r="H18" s="23">
        <v>5</v>
      </c>
      <c r="I18" s="27"/>
      <c r="J18" s="24">
        <f t="shared" si="1"/>
        <v>54404.44</v>
      </c>
      <c r="K18" s="24">
        <f t="shared" si="0"/>
        <v>23557.319999999996</v>
      </c>
    </row>
    <row r="19" spans="2:11" x14ac:dyDescent="0.25">
      <c r="B19" s="31">
        <v>42649</v>
      </c>
      <c r="C19" s="21" t="s">
        <v>1001</v>
      </c>
      <c r="D19" s="23"/>
      <c r="E19" s="23"/>
      <c r="F19" s="23"/>
      <c r="G19" s="23"/>
      <c r="H19" s="23">
        <v>49.3</v>
      </c>
      <c r="I19" s="27"/>
      <c r="J19" s="24">
        <f t="shared" si="1"/>
        <v>54404.44</v>
      </c>
      <c r="K19" s="24">
        <f t="shared" si="0"/>
        <v>23508.019999999997</v>
      </c>
    </row>
    <row r="20" spans="2:11" x14ac:dyDescent="0.25">
      <c r="B20" s="31">
        <v>42649</v>
      </c>
      <c r="C20" s="21" t="s">
        <v>1002</v>
      </c>
      <c r="D20" s="23"/>
      <c r="E20" s="23"/>
      <c r="F20" s="23"/>
      <c r="G20" s="23"/>
      <c r="H20" s="23">
        <v>350</v>
      </c>
      <c r="I20" s="27"/>
      <c r="J20" s="24">
        <f t="shared" si="1"/>
        <v>54404.44</v>
      </c>
      <c r="K20" s="24">
        <f t="shared" si="0"/>
        <v>23158.019999999997</v>
      </c>
    </row>
    <row r="21" spans="2:11" x14ac:dyDescent="0.25">
      <c r="B21" s="31">
        <v>42649</v>
      </c>
      <c r="C21" s="21" t="s">
        <v>1003</v>
      </c>
      <c r="D21" s="23"/>
      <c r="E21" s="23"/>
      <c r="F21" s="23"/>
      <c r="G21" s="23"/>
      <c r="H21" s="23">
        <v>100</v>
      </c>
      <c r="I21" s="27"/>
      <c r="J21" s="24">
        <f t="shared" si="1"/>
        <v>54404.44</v>
      </c>
      <c r="K21" s="24">
        <f t="shared" si="0"/>
        <v>23058.019999999997</v>
      </c>
    </row>
    <row r="22" spans="2:11" x14ac:dyDescent="0.25">
      <c r="B22" s="31">
        <v>42649</v>
      </c>
      <c r="C22" s="21" t="s">
        <v>1004</v>
      </c>
      <c r="D22" s="23"/>
      <c r="E22" s="23"/>
      <c r="F22" s="23"/>
      <c r="G22" s="23"/>
      <c r="H22" s="92">
        <v>320</v>
      </c>
      <c r="I22" s="27"/>
      <c r="J22" s="24">
        <f t="shared" si="1"/>
        <v>54404.44</v>
      </c>
      <c r="K22" s="24">
        <f t="shared" si="0"/>
        <v>22738.019999999997</v>
      </c>
    </row>
    <row r="23" spans="2:11" x14ac:dyDescent="0.25">
      <c r="B23" s="31">
        <v>42650</v>
      </c>
      <c r="C23" s="21" t="s">
        <v>1005</v>
      </c>
      <c r="D23" s="23"/>
      <c r="E23" s="23"/>
      <c r="F23" s="23"/>
      <c r="G23" s="23"/>
      <c r="H23" s="92">
        <v>250</v>
      </c>
      <c r="I23" s="27"/>
      <c r="J23" s="24">
        <f t="shared" si="1"/>
        <v>54404.44</v>
      </c>
      <c r="K23" s="24">
        <f t="shared" si="0"/>
        <v>22488.019999999997</v>
      </c>
    </row>
    <row r="24" spans="2:11" x14ac:dyDescent="0.25">
      <c r="B24" s="31">
        <v>42650</v>
      </c>
      <c r="C24" s="21" t="s">
        <v>1006</v>
      </c>
      <c r="D24" s="23"/>
      <c r="E24" s="23"/>
      <c r="F24" s="23"/>
      <c r="G24" s="23"/>
      <c r="H24" s="23">
        <v>1000</v>
      </c>
      <c r="I24" s="27"/>
      <c r="J24" s="24">
        <f t="shared" si="1"/>
        <v>54404.44</v>
      </c>
      <c r="K24" s="24">
        <f t="shared" si="0"/>
        <v>21488.019999999997</v>
      </c>
    </row>
    <row r="25" spans="2:11" x14ac:dyDescent="0.25">
      <c r="B25" s="31">
        <v>42650</v>
      </c>
      <c r="C25" s="21" t="s">
        <v>1007</v>
      </c>
      <c r="D25" s="23"/>
      <c r="E25" s="23"/>
      <c r="F25" s="23"/>
      <c r="G25" s="23"/>
      <c r="H25" s="23">
        <v>400</v>
      </c>
      <c r="I25" s="27"/>
      <c r="J25" s="24">
        <f t="shared" si="1"/>
        <v>54404.44</v>
      </c>
      <c r="K25" s="24">
        <f t="shared" si="0"/>
        <v>21088.019999999997</v>
      </c>
    </row>
    <row r="26" spans="2:11" x14ac:dyDescent="0.25">
      <c r="B26" s="31">
        <v>42651</v>
      </c>
      <c r="C26" s="21" t="s">
        <v>976</v>
      </c>
      <c r="D26" s="23"/>
      <c r="E26" s="23"/>
      <c r="F26" s="23"/>
      <c r="G26" s="23"/>
      <c r="H26" s="23">
        <v>500</v>
      </c>
      <c r="I26" s="27"/>
      <c r="J26" s="24">
        <f t="shared" si="1"/>
        <v>54404.44</v>
      </c>
      <c r="K26" s="24">
        <f t="shared" si="0"/>
        <v>20588.019999999997</v>
      </c>
    </row>
    <row r="27" spans="2:11" x14ac:dyDescent="0.25">
      <c r="B27" s="31">
        <v>42652</v>
      </c>
      <c r="C27" s="21" t="s">
        <v>1008</v>
      </c>
      <c r="D27" s="23"/>
      <c r="E27" s="23"/>
      <c r="F27" s="23"/>
      <c r="G27" s="23"/>
      <c r="H27" s="23">
        <v>148</v>
      </c>
      <c r="I27" s="27"/>
      <c r="J27" s="24">
        <f t="shared" si="1"/>
        <v>54404.44</v>
      </c>
      <c r="K27" s="24">
        <f t="shared" si="0"/>
        <v>20440.019999999997</v>
      </c>
    </row>
    <row r="28" spans="2:11" x14ac:dyDescent="0.25">
      <c r="B28" s="31">
        <v>42652</v>
      </c>
      <c r="C28" s="21" t="s">
        <v>994</v>
      </c>
      <c r="D28" s="23"/>
      <c r="E28" s="23"/>
      <c r="F28" s="23"/>
      <c r="G28" s="23"/>
      <c r="H28" s="23">
        <v>120</v>
      </c>
      <c r="I28" s="27"/>
      <c r="J28" s="24">
        <f t="shared" si="1"/>
        <v>54404.44</v>
      </c>
      <c r="K28" s="24">
        <f t="shared" si="0"/>
        <v>20320.019999999997</v>
      </c>
    </row>
    <row r="29" spans="2:11" x14ac:dyDescent="0.25">
      <c r="B29" s="31">
        <v>42652</v>
      </c>
      <c r="C29" s="21" t="s">
        <v>1009</v>
      </c>
      <c r="D29" s="23"/>
      <c r="E29" s="23"/>
      <c r="F29" s="23"/>
      <c r="G29" s="23"/>
      <c r="H29" s="23">
        <v>150</v>
      </c>
      <c r="I29" s="27"/>
      <c r="J29" s="24">
        <f t="shared" si="1"/>
        <v>54404.44</v>
      </c>
      <c r="K29" s="24">
        <f t="shared" si="0"/>
        <v>20170.019999999997</v>
      </c>
    </row>
    <row r="30" spans="2:11" x14ac:dyDescent="0.25">
      <c r="B30" s="31">
        <v>42653</v>
      </c>
      <c r="C30" s="21" t="s">
        <v>1010</v>
      </c>
      <c r="D30" s="23"/>
      <c r="E30" s="23"/>
      <c r="F30" s="23"/>
      <c r="G30" s="23"/>
      <c r="H30" s="23">
        <v>200</v>
      </c>
      <c r="I30" s="27"/>
      <c r="J30" s="24">
        <f t="shared" si="1"/>
        <v>54404.44</v>
      </c>
      <c r="K30" s="24">
        <f t="shared" si="0"/>
        <v>19970.019999999997</v>
      </c>
    </row>
    <row r="31" spans="2:11" x14ac:dyDescent="0.25">
      <c r="B31" s="31">
        <v>42653</v>
      </c>
      <c r="C31" s="21" t="s">
        <v>1011</v>
      </c>
      <c r="D31" s="23"/>
      <c r="E31" s="23"/>
      <c r="F31" s="23"/>
      <c r="G31" s="23"/>
      <c r="H31" s="92">
        <v>310</v>
      </c>
      <c r="I31" s="27"/>
      <c r="J31" s="24">
        <f t="shared" si="1"/>
        <v>54404.44</v>
      </c>
      <c r="K31" s="24">
        <f t="shared" si="0"/>
        <v>19660.019999999997</v>
      </c>
    </row>
    <row r="32" spans="2:11" x14ac:dyDescent="0.25">
      <c r="B32" s="31">
        <v>42653</v>
      </c>
      <c r="C32" s="21" t="s">
        <v>1012</v>
      </c>
      <c r="D32" s="23"/>
      <c r="E32" s="23"/>
      <c r="F32" s="23"/>
      <c r="G32" s="23"/>
      <c r="H32" s="23">
        <v>799</v>
      </c>
      <c r="I32" s="27"/>
      <c r="J32" s="24">
        <f t="shared" si="1"/>
        <v>54404.44</v>
      </c>
      <c r="K32" s="24">
        <f t="shared" si="0"/>
        <v>18861.019999999997</v>
      </c>
    </row>
    <row r="33" spans="2:11" x14ac:dyDescent="0.25">
      <c r="B33" s="31">
        <v>42653</v>
      </c>
      <c r="C33" s="21" t="s">
        <v>1013</v>
      </c>
      <c r="D33" s="23"/>
      <c r="E33" s="23"/>
      <c r="F33" s="23"/>
      <c r="G33" s="23"/>
      <c r="H33" s="23">
        <v>5</v>
      </c>
      <c r="I33" s="27"/>
      <c r="J33" s="24">
        <f t="shared" si="1"/>
        <v>54404.44</v>
      </c>
      <c r="K33" s="24">
        <f t="shared" si="0"/>
        <v>18856.019999999997</v>
      </c>
    </row>
    <row r="34" spans="2:11" x14ac:dyDescent="0.25">
      <c r="B34" s="31">
        <v>42653</v>
      </c>
      <c r="C34" s="21" t="s">
        <v>1014</v>
      </c>
      <c r="D34" s="23"/>
      <c r="E34" s="23"/>
      <c r="F34" s="23"/>
      <c r="G34" s="23"/>
      <c r="H34" s="23">
        <v>350</v>
      </c>
      <c r="I34" s="27"/>
      <c r="J34" s="24">
        <f t="shared" si="1"/>
        <v>54404.44</v>
      </c>
      <c r="K34" s="24">
        <f t="shared" si="0"/>
        <v>18506.019999999997</v>
      </c>
    </row>
    <row r="35" spans="2:11" x14ac:dyDescent="0.25">
      <c r="B35" s="31">
        <v>42653</v>
      </c>
      <c r="C35" s="21" t="s">
        <v>1015</v>
      </c>
      <c r="D35" s="23"/>
      <c r="E35" s="23"/>
      <c r="F35" s="23"/>
      <c r="G35" s="23"/>
      <c r="H35" s="23">
        <v>349.5</v>
      </c>
      <c r="I35" s="27"/>
      <c r="J35" s="24">
        <f t="shared" si="1"/>
        <v>54404.44</v>
      </c>
      <c r="K35" s="24">
        <f t="shared" si="0"/>
        <v>18156.519999999997</v>
      </c>
    </row>
    <row r="36" spans="2:11" x14ac:dyDescent="0.25">
      <c r="B36" s="31">
        <v>42653</v>
      </c>
      <c r="C36" s="21" t="s">
        <v>1016</v>
      </c>
      <c r="D36" s="23"/>
      <c r="E36" s="23"/>
      <c r="F36" s="23"/>
      <c r="G36" s="23"/>
      <c r="H36" s="23">
        <v>400</v>
      </c>
      <c r="I36" s="27"/>
      <c r="J36" s="24">
        <f t="shared" si="1"/>
        <v>54404.44</v>
      </c>
      <c r="K36" s="24">
        <f t="shared" si="0"/>
        <v>17756.519999999997</v>
      </c>
    </row>
    <row r="37" spans="2:11" x14ac:dyDescent="0.25">
      <c r="B37" s="31">
        <v>42653</v>
      </c>
      <c r="C37" s="21" t="s">
        <v>1017</v>
      </c>
      <c r="D37" s="23">
        <v>11650</v>
      </c>
      <c r="E37" s="23"/>
      <c r="F37" s="23"/>
      <c r="G37" s="23"/>
      <c r="H37" s="23"/>
      <c r="I37" s="27"/>
      <c r="J37" s="24">
        <f t="shared" si="1"/>
        <v>54404.44</v>
      </c>
      <c r="K37" s="24">
        <f t="shared" si="0"/>
        <v>29406.519999999997</v>
      </c>
    </row>
    <row r="38" spans="2:11" x14ac:dyDescent="0.25">
      <c r="B38" s="31">
        <v>42654</v>
      </c>
      <c r="C38" s="21" t="s">
        <v>1018</v>
      </c>
      <c r="D38" s="23"/>
      <c r="E38" s="23"/>
      <c r="F38" s="23"/>
      <c r="G38" s="23"/>
      <c r="H38" s="23">
        <v>100</v>
      </c>
      <c r="I38" s="27"/>
      <c r="J38" s="24">
        <f t="shared" si="1"/>
        <v>54404.44</v>
      </c>
      <c r="K38" s="24">
        <f t="shared" si="0"/>
        <v>29306.519999999997</v>
      </c>
    </row>
    <row r="39" spans="2:11" x14ac:dyDescent="0.25">
      <c r="B39" s="31">
        <v>42654</v>
      </c>
      <c r="C39" s="21" t="s">
        <v>1019</v>
      </c>
      <c r="D39" s="23"/>
      <c r="E39" s="23"/>
      <c r="F39" s="23"/>
      <c r="G39" s="23"/>
      <c r="H39" s="23">
        <v>28</v>
      </c>
      <c r="I39" s="27"/>
      <c r="J39" s="24">
        <f t="shared" si="1"/>
        <v>54404.44</v>
      </c>
      <c r="K39" s="24">
        <f t="shared" si="0"/>
        <v>29278.519999999997</v>
      </c>
    </row>
    <row r="40" spans="2:11" x14ac:dyDescent="0.25">
      <c r="B40" s="31">
        <v>42654</v>
      </c>
      <c r="C40" s="21" t="s">
        <v>1020</v>
      </c>
      <c r="D40" s="23"/>
      <c r="E40" s="23"/>
      <c r="F40" s="23"/>
      <c r="G40" s="23"/>
      <c r="H40" s="23">
        <v>40</v>
      </c>
      <c r="I40" s="27"/>
      <c r="J40" s="24">
        <f t="shared" si="1"/>
        <v>54404.44</v>
      </c>
      <c r="K40" s="24">
        <f t="shared" si="0"/>
        <v>29238.519999999997</v>
      </c>
    </row>
    <row r="41" spans="2:11" x14ac:dyDescent="0.25">
      <c r="B41" s="31">
        <v>42654</v>
      </c>
      <c r="C41" s="21" t="s">
        <v>1021</v>
      </c>
      <c r="D41" s="23"/>
      <c r="E41" s="23"/>
      <c r="F41" s="23"/>
      <c r="G41" s="23"/>
      <c r="H41" s="92">
        <v>200</v>
      </c>
      <c r="I41" s="27"/>
      <c r="J41" s="24">
        <f t="shared" si="1"/>
        <v>54404.44</v>
      </c>
      <c r="K41" s="24">
        <f t="shared" si="0"/>
        <v>29038.519999999997</v>
      </c>
    </row>
    <row r="42" spans="2:11" x14ac:dyDescent="0.25">
      <c r="B42" s="31">
        <v>42655</v>
      </c>
      <c r="C42" s="21" t="s">
        <v>1022</v>
      </c>
      <c r="D42" s="23"/>
      <c r="E42" s="23"/>
      <c r="F42" s="23"/>
      <c r="G42" s="23"/>
      <c r="H42" s="92">
        <v>150</v>
      </c>
      <c r="I42" s="27"/>
      <c r="J42" s="24">
        <f t="shared" si="1"/>
        <v>54404.44</v>
      </c>
      <c r="K42" s="24">
        <f t="shared" si="0"/>
        <v>28888.519999999997</v>
      </c>
    </row>
    <row r="43" spans="2:11" x14ac:dyDescent="0.25">
      <c r="B43" s="31">
        <v>42655</v>
      </c>
      <c r="C43" s="21" t="s">
        <v>1075</v>
      </c>
      <c r="D43" s="23"/>
      <c r="E43" s="23"/>
      <c r="F43" s="23"/>
      <c r="G43" s="23"/>
      <c r="H43" s="92">
        <v>200</v>
      </c>
      <c r="I43" s="27"/>
      <c r="J43" s="24">
        <f t="shared" si="1"/>
        <v>54404.44</v>
      </c>
      <c r="K43" s="24">
        <f t="shared" si="0"/>
        <v>28688.519999999997</v>
      </c>
    </row>
    <row r="44" spans="2:11" x14ac:dyDescent="0.25">
      <c r="B44" s="31">
        <v>42655</v>
      </c>
      <c r="C44" s="21" t="s">
        <v>1023</v>
      </c>
      <c r="D44" s="23"/>
      <c r="E44" s="23"/>
      <c r="F44" s="23"/>
      <c r="G44" s="23"/>
      <c r="H44" s="92">
        <v>675</v>
      </c>
      <c r="I44" s="27"/>
      <c r="J44" s="24">
        <f t="shared" si="1"/>
        <v>54404.44</v>
      </c>
      <c r="K44" s="24">
        <f t="shared" si="0"/>
        <v>28013.519999999997</v>
      </c>
    </row>
    <row r="45" spans="2:11" x14ac:dyDescent="0.25">
      <c r="B45" s="31">
        <v>42656</v>
      </c>
      <c r="C45" s="25" t="s">
        <v>1076</v>
      </c>
      <c r="D45" s="73"/>
      <c r="E45" s="73"/>
      <c r="F45" s="73"/>
      <c r="G45" s="73"/>
      <c r="H45" s="23">
        <v>36</v>
      </c>
      <c r="I45" s="27"/>
      <c r="J45" s="24">
        <f t="shared" si="1"/>
        <v>54404.44</v>
      </c>
      <c r="K45" s="24">
        <f t="shared" si="0"/>
        <v>27977.519999999997</v>
      </c>
    </row>
    <row r="46" spans="2:11" x14ac:dyDescent="0.25">
      <c r="B46" s="31">
        <v>42657</v>
      </c>
      <c r="C46" s="25" t="s">
        <v>1024</v>
      </c>
      <c r="D46" s="73"/>
      <c r="E46" s="73"/>
      <c r="F46" s="73"/>
      <c r="G46" s="28"/>
      <c r="H46" s="23">
        <v>170</v>
      </c>
      <c r="I46" s="27"/>
      <c r="J46" s="24">
        <f t="shared" si="1"/>
        <v>54404.44</v>
      </c>
      <c r="K46" s="24">
        <f t="shared" si="0"/>
        <v>27807.519999999997</v>
      </c>
    </row>
    <row r="47" spans="2:11" x14ac:dyDescent="0.25">
      <c r="B47" s="31">
        <v>42657</v>
      </c>
      <c r="C47" s="25" t="s">
        <v>1077</v>
      </c>
      <c r="D47" s="73"/>
      <c r="E47" s="73"/>
      <c r="F47" s="73"/>
      <c r="G47" s="73"/>
      <c r="H47" s="23">
        <v>92</v>
      </c>
      <c r="I47" s="27"/>
      <c r="J47" s="24">
        <f t="shared" si="1"/>
        <v>54404.44</v>
      </c>
      <c r="K47" s="24">
        <f t="shared" si="0"/>
        <v>27715.519999999997</v>
      </c>
    </row>
    <row r="48" spans="2:11" x14ac:dyDescent="0.25">
      <c r="B48" s="31">
        <v>42657</v>
      </c>
      <c r="C48" s="25" t="s">
        <v>1025</v>
      </c>
      <c r="D48" s="23"/>
      <c r="E48" s="23"/>
      <c r="F48" s="23"/>
      <c r="G48" s="23"/>
      <c r="H48" s="23">
        <v>120</v>
      </c>
      <c r="I48" s="27"/>
      <c r="J48" s="24">
        <f t="shared" si="1"/>
        <v>54404.44</v>
      </c>
      <c r="K48" s="24">
        <f t="shared" si="0"/>
        <v>27595.519999999997</v>
      </c>
    </row>
    <row r="49" spans="2:11" x14ac:dyDescent="0.25">
      <c r="B49" s="31">
        <v>42657</v>
      </c>
      <c r="C49" s="25" t="s">
        <v>1026</v>
      </c>
      <c r="D49" s="23"/>
      <c r="E49" s="23"/>
      <c r="F49" s="23"/>
      <c r="G49" s="23"/>
      <c r="H49" s="23">
        <v>1000</v>
      </c>
      <c r="I49" s="27"/>
      <c r="J49" s="24">
        <f t="shared" si="1"/>
        <v>54404.44</v>
      </c>
      <c r="K49" s="24">
        <f t="shared" si="0"/>
        <v>26595.519999999997</v>
      </c>
    </row>
    <row r="50" spans="2:11" x14ac:dyDescent="0.25">
      <c r="B50" s="31">
        <v>42657</v>
      </c>
      <c r="C50" s="25" t="s">
        <v>1078</v>
      </c>
      <c r="D50" s="23"/>
      <c r="E50" s="23"/>
      <c r="F50" s="23"/>
      <c r="G50" s="23"/>
      <c r="H50" s="23">
        <v>345</v>
      </c>
      <c r="I50" s="27"/>
      <c r="J50" s="24">
        <f t="shared" si="1"/>
        <v>54404.44</v>
      </c>
      <c r="K50" s="24">
        <f t="shared" si="0"/>
        <v>26250.519999999997</v>
      </c>
    </row>
    <row r="51" spans="2:11" x14ac:dyDescent="0.25">
      <c r="B51" s="31">
        <v>42658</v>
      </c>
      <c r="C51" s="21" t="s">
        <v>1079</v>
      </c>
      <c r="D51" s="23"/>
      <c r="E51" s="23"/>
      <c r="F51" s="23"/>
      <c r="G51" s="23"/>
      <c r="H51" s="23">
        <v>450</v>
      </c>
      <c r="I51" s="27"/>
      <c r="J51" s="24">
        <f>+J50+E51-G51</f>
        <v>54404.44</v>
      </c>
      <c r="K51" s="24">
        <f t="shared" si="0"/>
        <v>25800.519999999997</v>
      </c>
    </row>
    <row r="52" spans="2:11" x14ac:dyDescent="0.25">
      <c r="B52" s="31">
        <v>42658</v>
      </c>
      <c r="C52" s="21" t="s">
        <v>1066</v>
      </c>
      <c r="D52" s="23"/>
      <c r="E52" s="23"/>
      <c r="F52" s="23"/>
      <c r="G52" s="23"/>
      <c r="H52" s="23">
        <v>350</v>
      </c>
      <c r="I52" s="27"/>
      <c r="J52" s="24">
        <f t="shared" si="1"/>
        <v>54404.44</v>
      </c>
      <c r="K52" s="24">
        <f t="shared" si="0"/>
        <v>25450.519999999997</v>
      </c>
    </row>
    <row r="53" spans="2:11" x14ac:dyDescent="0.25">
      <c r="B53" s="31">
        <v>42658</v>
      </c>
      <c r="C53" s="25" t="s">
        <v>1027</v>
      </c>
      <c r="D53" s="73"/>
      <c r="E53" s="73"/>
      <c r="F53" s="73"/>
      <c r="G53" s="73"/>
      <c r="H53" s="23">
        <v>500</v>
      </c>
      <c r="I53" s="27"/>
      <c r="J53" s="24">
        <f t="shared" ref="J53:J54" si="2">+J52+E53-G53</f>
        <v>54404.44</v>
      </c>
      <c r="K53" s="24">
        <f t="shared" ref="K53:K54" si="3">+K52+D53-H53</f>
        <v>24950.519999999997</v>
      </c>
    </row>
    <row r="54" spans="2:11" ht="15.75" thickBot="1" x14ac:dyDescent="0.3">
      <c r="B54" s="31">
        <v>42658</v>
      </c>
      <c r="C54" s="21" t="s">
        <v>1000</v>
      </c>
      <c r="D54" s="23"/>
      <c r="E54" s="23"/>
      <c r="F54" s="23"/>
      <c r="G54" s="23"/>
      <c r="H54" s="92">
        <v>10</v>
      </c>
      <c r="I54" s="27"/>
      <c r="J54" s="24">
        <f t="shared" si="2"/>
        <v>54404.44</v>
      </c>
      <c r="K54" s="24">
        <f t="shared" si="3"/>
        <v>24940.519999999997</v>
      </c>
    </row>
    <row r="55" spans="2:11" ht="15.75" thickBot="1" x14ac:dyDescent="0.3">
      <c r="B55" s="13"/>
      <c r="C55" s="16" t="s">
        <v>0</v>
      </c>
      <c r="D55" s="105">
        <f>SUM(D4:D54)</f>
        <v>35975</v>
      </c>
      <c r="E55" s="103">
        <f>SUM(E4:E47)</f>
        <v>0</v>
      </c>
      <c r="F55" s="114">
        <f>SUM(D55:E55)</f>
        <v>35975</v>
      </c>
      <c r="G55" s="126">
        <f>SUM(G4:G47)</f>
        <v>0</v>
      </c>
      <c r="H55" s="105">
        <f>SUM(H4:H54)</f>
        <v>13253.8</v>
      </c>
      <c r="I55" s="114">
        <f>SUM(G55:H55)</f>
        <v>13253.8</v>
      </c>
      <c r="J55" s="33">
        <v>54404.44</v>
      </c>
      <c r="K55" s="33"/>
    </row>
    <row r="56" spans="2:11" x14ac:dyDescent="0.25">
      <c r="B56" s="111" t="s">
        <v>1</v>
      </c>
      <c r="C56" s="111" t="s">
        <v>2</v>
      </c>
      <c r="D56" s="111" t="s">
        <v>3</v>
      </c>
      <c r="E56" s="111" t="s">
        <v>3</v>
      </c>
      <c r="F56" s="111" t="s">
        <v>323</v>
      </c>
      <c r="G56" s="111" t="s">
        <v>324</v>
      </c>
      <c r="H56" s="81" t="s">
        <v>324</v>
      </c>
      <c r="I56" s="81" t="s">
        <v>323</v>
      </c>
      <c r="J56" s="111" t="s">
        <v>174</v>
      </c>
      <c r="K56" s="81" t="s">
        <v>173</v>
      </c>
    </row>
    <row r="57" spans="2:11" ht="15.75" thickBot="1" x14ac:dyDescent="0.3">
      <c r="B57" s="112"/>
      <c r="C57" s="112"/>
      <c r="D57" s="112" t="s">
        <v>6</v>
      </c>
      <c r="E57" s="112" t="s">
        <v>325</v>
      </c>
      <c r="F57" s="112" t="s">
        <v>3</v>
      </c>
      <c r="G57" s="112" t="s">
        <v>325</v>
      </c>
      <c r="H57" s="113" t="s">
        <v>6</v>
      </c>
      <c r="I57" s="113" t="s">
        <v>5</v>
      </c>
      <c r="J57" s="112"/>
      <c r="K57" s="113"/>
    </row>
    <row r="58" spans="2:11" ht="15.75" thickBot="1" x14ac:dyDescent="0.3">
      <c r="B58" s="13"/>
      <c r="C58" s="16"/>
      <c r="D58" s="105">
        <v>35975</v>
      </c>
      <c r="E58" s="103">
        <v>0</v>
      </c>
      <c r="F58" s="114">
        <f>SUM(D58:E58)</f>
        <v>35975</v>
      </c>
      <c r="G58" s="126">
        <v>0</v>
      </c>
      <c r="H58" s="105">
        <v>13253.8</v>
      </c>
      <c r="I58" s="114">
        <f>SUM(G58:H58)</f>
        <v>13253.8</v>
      </c>
      <c r="J58" s="33">
        <v>54404.44</v>
      </c>
      <c r="K58" s="24">
        <v>24940.52</v>
      </c>
    </row>
    <row r="59" spans="2:11" x14ac:dyDescent="0.25">
      <c r="B59" s="31">
        <v>42658</v>
      </c>
      <c r="C59" s="21" t="s">
        <v>1028</v>
      </c>
      <c r="D59" s="23"/>
      <c r="E59" s="23"/>
      <c r="F59" s="23"/>
      <c r="G59" s="23"/>
      <c r="H59" s="92">
        <v>17000</v>
      </c>
      <c r="I59" s="27"/>
      <c r="J59" s="24">
        <f>+J58+E59-G59</f>
        <v>54404.44</v>
      </c>
      <c r="K59" s="24">
        <f t="shared" ref="K59" si="4">+K58+D59-H59</f>
        <v>7940.52</v>
      </c>
    </row>
    <row r="60" spans="2:11" x14ac:dyDescent="0.25">
      <c r="B60" s="31">
        <v>42658</v>
      </c>
      <c r="C60" s="21" t="s">
        <v>1174</v>
      </c>
      <c r="D60" s="23"/>
      <c r="E60" s="23"/>
      <c r="F60" s="23"/>
      <c r="G60" s="23">
        <v>12000</v>
      </c>
      <c r="H60" s="92"/>
      <c r="I60" s="27"/>
      <c r="J60" s="24">
        <f t="shared" ref="J60:J93" si="5">+J59+E60-G60</f>
        <v>42404.44</v>
      </c>
      <c r="K60" s="24">
        <f t="shared" ref="K60:K93" si="6">+K59+D60-H60</f>
        <v>7940.52</v>
      </c>
    </row>
    <row r="61" spans="2:11" x14ac:dyDescent="0.25">
      <c r="B61" s="31">
        <v>42658</v>
      </c>
      <c r="C61" s="21" t="s">
        <v>1029</v>
      </c>
      <c r="D61" s="23"/>
      <c r="E61" s="23"/>
      <c r="F61" s="23"/>
      <c r="G61" s="23"/>
      <c r="H61" s="92">
        <v>4000</v>
      </c>
      <c r="I61" s="27"/>
      <c r="J61" s="24">
        <f t="shared" si="5"/>
        <v>42404.44</v>
      </c>
      <c r="K61" s="24">
        <f t="shared" si="6"/>
        <v>3940.5200000000004</v>
      </c>
    </row>
    <row r="62" spans="2:11" x14ac:dyDescent="0.25">
      <c r="B62" s="31">
        <v>42659</v>
      </c>
      <c r="C62" s="25" t="s">
        <v>993</v>
      </c>
      <c r="D62" s="23"/>
      <c r="E62" s="23"/>
      <c r="F62" s="23"/>
      <c r="G62" s="23"/>
      <c r="H62" s="23">
        <v>60</v>
      </c>
      <c r="I62" s="27"/>
      <c r="J62" s="24">
        <f t="shared" si="5"/>
        <v>42404.44</v>
      </c>
      <c r="K62" s="24">
        <f t="shared" si="6"/>
        <v>3880.5200000000004</v>
      </c>
    </row>
    <row r="63" spans="2:11" x14ac:dyDescent="0.25">
      <c r="B63" s="31">
        <v>42659</v>
      </c>
      <c r="C63" s="25" t="s">
        <v>1030</v>
      </c>
      <c r="D63" s="23"/>
      <c r="E63" s="23"/>
      <c r="F63" s="23"/>
      <c r="G63" s="23"/>
      <c r="H63" s="23">
        <v>120</v>
      </c>
      <c r="I63" s="27"/>
      <c r="J63" s="24">
        <f t="shared" si="5"/>
        <v>42404.44</v>
      </c>
      <c r="K63" s="24">
        <f t="shared" si="6"/>
        <v>3760.5200000000004</v>
      </c>
    </row>
    <row r="64" spans="2:11" x14ac:dyDescent="0.25">
      <c r="B64" s="31">
        <v>42660</v>
      </c>
      <c r="C64" s="25" t="s">
        <v>1031</v>
      </c>
      <c r="D64" s="23">
        <v>16600</v>
      </c>
      <c r="E64" s="23"/>
      <c r="F64" s="23"/>
      <c r="G64" s="23"/>
      <c r="H64" s="23"/>
      <c r="I64" s="27"/>
      <c r="J64" s="24">
        <f t="shared" si="5"/>
        <v>42404.44</v>
      </c>
      <c r="K64" s="24">
        <f t="shared" si="6"/>
        <v>20360.52</v>
      </c>
    </row>
    <row r="65" spans="2:11" x14ac:dyDescent="0.25">
      <c r="B65" s="31">
        <v>42660</v>
      </c>
      <c r="C65" s="25" t="s">
        <v>1032</v>
      </c>
      <c r="D65" s="23"/>
      <c r="E65" s="23"/>
      <c r="F65" s="23"/>
      <c r="G65" s="23"/>
      <c r="H65" s="23">
        <v>310</v>
      </c>
      <c r="I65" s="27"/>
      <c r="J65" s="24">
        <f t="shared" si="5"/>
        <v>42404.44</v>
      </c>
      <c r="K65" s="24">
        <f t="shared" si="6"/>
        <v>20050.52</v>
      </c>
    </row>
    <row r="66" spans="2:11" x14ac:dyDescent="0.25">
      <c r="B66" s="31">
        <v>42660</v>
      </c>
      <c r="C66" s="25" t="s">
        <v>1033</v>
      </c>
      <c r="D66" s="23"/>
      <c r="E66" s="23"/>
      <c r="F66" s="23"/>
      <c r="G66" s="23"/>
      <c r="H66" s="23">
        <v>400</v>
      </c>
      <c r="I66" s="27"/>
      <c r="J66" s="24">
        <f t="shared" si="5"/>
        <v>42404.44</v>
      </c>
      <c r="K66" s="24">
        <f t="shared" si="6"/>
        <v>19650.52</v>
      </c>
    </row>
    <row r="67" spans="2:11" x14ac:dyDescent="0.25">
      <c r="B67" s="31">
        <v>42660</v>
      </c>
      <c r="C67" s="25" t="s">
        <v>1034</v>
      </c>
      <c r="D67" s="23"/>
      <c r="E67" s="23"/>
      <c r="F67" s="23"/>
      <c r="G67" s="23"/>
      <c r="H67" s="23">
        <v>349.5</v>
      </c>
      <c r="I67" s="27"/>
      <c r="J67" s="24">
        <f t="shared" si="5"/>
        <v>42404.44</v>
      </c>
      <c r="K67" s="24">
        <f t="shared" si="6"/>
        <v>19301.02</v>
      </c>
    </row>
    <row r="68" spans="2:11" x14ac:dyDescent="0.25">
      <c r="B68" s="31">
        <v>42660</v>
      </c>
      <c r="C68" s="25" t="s">
        <v>1035</v>
      </c>
      <c r="D68" s="23"/>
      <c r="E68" s="23"/>
      <c r="F68" s="23"/>
      <c r="G68" s="23"/>
      <c r="H68" s="23">
        <v>693</v>
      </c>
      <c r="I68" s="27"/>
      <c r="J68" s="24">
        <f t="shared" si="5"/>
        <v>42404.44</v>
      </c>
      <c r="K68" s="24">
        <f t="shared" si="6"/>
        <v>18608.02</v>
      </c>
    </row>
    <row r="69" spans="2:11" x14ac:dyDescent="0.25">
      <c r="B69" s="31">
        <v>42661</v>
      </c>
      <c r="C69" s="25" t="s">
        <v>1036</v>
      </c>
      <c r="D69" s="23"/>
      <c r="E69" s="23"/>
      <c r="F69" s="23"/>
      <c r="G69" s="23"/>
      <c r="H69" s="23">
        <v>380</v>
      </c>
      <c r="I69" s="27"/>
      <c r="J69" s="24">
        <f t="shared" si="5"/>
        <v>42404.44</v>
      </c>
      <c r="K69" s="24">
        <f t="shared" si="6"/>
        <v>18228.02</v>
      </c>
    </row>
    <row r="70" spans="2:11" x14ac:dyDescent="0.25">
      <c r="B70" s="31">
        <v>42661</v>
      </c>
      <c r="C70" s="62" t="s">
        <v>1037</v>
      </c>
      <c r="D70" s="23"/>
      <c r="E70" s="23"/>
      <c r="F70" s="23"/>
      <c r="G70" s="23"/>
      <c r="H70" s="23">
        <v>50</v>
      </c>
      <c r="I70" s="27"/>
      <c r="J70" s="24">
        <f t="shared" si="5"/>
        <v>42404.44</v>
      </c>
      <c r="K70" s="24">
        <f t="shared" si="6"/>
        <v>18178.02</v>
      </c>
    </row>
    <row r="71" spans="2:11" x14ac:dyDescent="0.25">
      <c r="B71" s="31">
        <v>42661</v>
      </c>
      <c r="C71" s="60" t="s">
        <v>1038</v>
      </c>
      <c r="D71" s="23"/>
      <c r="E71" s="23"/>
      <c r="F71" s="23"/>
      <c r="G71" s="23"/>
      <c r="H71" s="23">
        <v>300</v>
      </c>
      <c r="I71" s="27"/>
      <c r="J71" s="24">
        <f t="shared" si="5"/>
        <v>42404.44</v>
      </c>
      <c r="K71" s="24">
        <f t="shared" si="6"/>
        <v>17878.02</v>
      </c>
    </row>
    <row r="72" spans="2:11" x14ac:dyDescent="0.25">
      <c r="B72" s="31">
        <v>42661</v>
      </c>
      <c r="C72" s="21" t="s">
        <v>1069</v>
      </c>
      <c r="D72" s="23"/>
      <c r="E72" s="23"/>
      <c r="F72" s="23"/>
      <c r="G72" s="23"/>
      <c r="H72" s="23">
        <v>119.5</v>
      </c>
      <c r="I72" s="27"/>
      <c r="J72" s="24">
        <f t="shared" si="5"/>
        <v>42404.44</v>
      </c>
      <c r="K72" s="24">
        <f t="shared" si="6"/>
        <v>17758.52</v>
      </c>
    </row>
    <row r="73" spans="2:11" x14ac:dyDescent="0.25">
      <c r="B73" s="31">
        <v>42661</v>
      </c>
      <c r="C73" s="21" t="s">
        <v>1039</v>
      </c>
      <c r="D73" s="23"/>
      <c r="E73" s="23"/>
      <c r="F73" s="23"/>
      <c r="G73" s="23"/>
      <c r="H73" s="23">
        <v>15.5</v>
      </c>
      <c r="I73" s="27"/>
      <c r="J73" s="24">
        <f t="shared" si="5"/>
        <v>42404.44</v>
      </c>
      <c r="K73" s="24">
        <f t="shared" si="6"/>
        <v>17743.02</v>
      </c>
    </row>
    <row r="74" spans="2:11" x14ac:dyDescent="0.25">
      <c r="B74" s="31">
        <v>42661</v>
      </c>
      <c r="C74" s="21" t="s">
        <v>1070</v>
      </c>
      <c r="D74" s="23"/>
      <c r="E74" s="23"/>
      <c r="F74" s="23"/>
      <c r="G74" s="23"/>
      <c r="H74" s="23">
        <v>200</v>
      </c>
      <c r="I74" s="27"/>
      <c r="J74" s="24">
        <f t="shared" si="5"/>
        <v>42404.44</v>
      </c>
      <c r="K74" s="24">
        <f t="shared" si="6"/>
        <v>17543.02</v>
      </c>
    </row>
    <row r="75" spans="2:11" x14ac:dyDescent="0.25">
      <c r="B75" s="31">
        <v>42661</v>
      </c>
      <c r="C75" s="62" t="s">
        <v>1040</v>
      </c>
      <c r="D75" s="23"/>
      <c r="E75" s="23"/>
      <c r="F75" s="23"/>
      <c r="G75" s="23"/>
      <c r="H75" s="23">
        <v>290</v>
      </c>
      <c r="I75" s="27"/>
      <c r="J75" s="24">
        <f t="shared" si="5"/>
        <v>42404.44</v>
      </c>
      <c r="K75" s="24">
        <f t="shared" si="6"/>
        <v>17253.02</v>
      </c>
    </row>
    <row r="76" spans="2:11" x14ac:dyDescent="0.25">
      <c r="B76" s="31">
        <v>42662</v>
      </c>
      <c r="C76" s="60" t="s">
        <v>1041</v>
      </c>
      <c r="D76" s="23"/>
      <c r="E76" s="23"/>
      <c r="F76" s="23"/>
      <c r="G76" s="23"/>
      <c r="H76" s="23">
        <v>100</v>
      </c>
      <c r="I76" s="27"/>
      <c r="J76" s="24">
        <f t="shared" si="5"/>
        <v>42404.44</v>
      </c>
      <c r="K76" s="24">
        <f t="shared" si="6"/>
        <v>17153.02</v>
      </c>
    </row>
    <row r="77" spans="2:11" x14ac:dyDescent="0.25">
      <c r="B77" s="31">
        <v>42662</v>
      </c>
      <c r="C77" s="62" t="s">
        <v>1042</v>
      </c>
      <c r="D77" s="23"/>
      <c r="E77" s="23"/>
      <c r="F77" s="23"/>
      <c r="G77" s="23"/>
      <c r="H77" s="23">
        <v>120</v>
      </c>
      <c r="I77" s="27"/>
      <c r="J77" s="24">
        <f t="shared" si="5"/>
        <v>42404.44</v>
      </c>
      <c r="K77" s="24">
        <f t="shared" si="6"/>
        <v>17033.02</v>
      </c>
    </row>
    <row r="78" spans="2:11" x14ac:dyDescent="0.25">
      <c r="B78" s="31">
        <v>42662</v>
      </c>
      <c r="C78" s="60" t="s">
        <v>1043</v>
      </c>
      <c r="D78" s="23"/>
      <c r="E78" s="23"/>
      <c r="F78" s="23"/>
      <c r="G78" s="23"/>
      <c r="H78" s="23">
        <v>200</v>
      </c>
      <c r="I78" s="27"/>
      <c r="J78" s="24">
        <f t="shared" si="5"/>
        <v>42404.44</v>
      </c>
      <c r="K78" s="24">
        <f t="shared" si="6"/>
        <v>16833.02</v>
      </c>
    </row>
    <row r="79" spans="2:11" x14ac:dyDescent="0.25">
      <c r="B79" s="31">
        <v>42662</v>
      </c>
      <c r="C79" s="25" t="s">
        <v>1044</v>
      </c>
      <c r="D79" s="23"/>
      <c r="E79" s="23"/>
      <c r="F79" s="23"/>
      <c r="G79" s="23"/>
      <c r="H79" s="23">
        <v>92.5</v>
      </c>
      <c r="I79" s="27"/>
      <c r="J79" s="24">
        <f t="shared" si="5"/>
        <v>42404.44</v>
      </c>
      <c r="K79" s="24">
        <f t="shared" si="6"/>
        <v>16740.52</v>
      </c>
    </row>
    <row r="80" spans="2:11" x14ac:dyDescent="0.25">
      <c r="B80" s="31">
        <v>42662</v>
      </c>
      <c r="C80" s="21" t="s">
        <v>1045</v>
      </c>
      <c r="D80" s="23"/>
      <c r="E80" s="23"/>
      <c r="F80" s="23"/>
      <c r="G80" s="23"/>
      <c r="H80" s="23">
        <v>320</v>
      </c>
      <c r="I80" s="27"/>
      <c r="J80" s="24">
        <f t="shared" si="5"/>
        <v>42404.44</v>
      </c>
      <c r="K80" s="24">
        <f t="shared" si="6"/>
        <v>16420.52</v>
      </c>
    </row>
    <row r="81" spans="2:11" x14ac:dyDescent="0.25">
      <c r="B81" s="31">
        <v>42663</v>
      </c>
      <c r="C81" s="21" t="s">
        <v>1046</v>
      </c>
      <c r="D81" s="23"/>
      <c r="E81" s="23"/>
      <c r="F81" s="23"/>
      <c r="G81" s="23"/>
      <c r="H81" s="23">
        <v>160</v>
      </c>
      <c r="I81" s="27"/>
      <c r="J81" s="24">
        <f t="shared" si="5"/>
        <v>42404.44</v>
      </c>
      <c r="K81" s="24">
        <f t="shared" si="6"/>
        <v>16260.52</v>
      </c>
    </row>
    <row r="82" spans="2:11" x14ac:dyDescent="0.25">
      <c r="B82" s="31">
        <v>42663</v>
      </c>
      <c r="C82" s="21" t="s">
        <v>1047</v>
      </c>
      <c r="D82" s="23"/>
      <c r="E82" s="23"/>
      <c r="F82" s="23"/>
      <c r="G82" s="23"/>
      <c r="H82" s="23">
        <v>345</v>
      </c>
      <c r="I82" s="27"/>
      <c r="J82" s="24">
        <f t="shared" si="5"/>
        <v>42404.44</v>
      </c>
      <c r="K82" s="24">
        <f t="shared" si="6"/>
        <v>15915.52</v>
      </c>
    </row>
    <row r="83" spans="2:11" x14ac:dyDescent="0.25">
      <c r="B83" s="31">
        <v>42663</v>
      </c>
      <c r="C83" s="60" t="s">
        <v>1053</v>
      </c>
      <c r="D83" s="23"/>
      <c r="E83" s="23"/>
      <c r="F83" s="23"/>
      <c r="G83" s="23">
        <v>1224</v>
      </c>
      <c r="H83" s="23"/>
      <c r="I83" s="27"/>
      <c r="J83" s="24">
        <f t="shared" si="5"/>
        <v>41180.44</v>
      </c>
      <c r="K83" s="24">
        <f t="shared" si="6"/>
        <v>15915.52</v>
      </c>
    </row>
    <row r="84" spans="2:11" x14ac:dyDescent="0.25">
      <c r="B84" s="31">
        <v>42663</v>
      </c>
      <c r="C84" s="62" t="s">
        <v>1054</v>
      </c>
      <c r="D84" s="23"/>
      <c r="E84" s="23"/>
      <c r="F84" s="23"/>
      <c r="G84" s="23">
        <v>1760</v>
      </c>
      <c r="H84" s="23"/>
      <c r="I84" s="27"/>
      <c r="J84" s="24">
        <f t="shared" si="5"/>
        <v>39420.44</v>
      </c>
      <c r="K84" s="24">
        <f t="shared" si="6"/>
        <v>15915.52</v>
      </c>
    </row>
    <row r="85" spans="2:11" x14ac:dyDescent="0.25">
      <c r="B85" s="31">
        <v>42664</v>
      </c>
      <c r="C85" s="21" t="s">
        <v>1080</v>
      </c>
      <c r="D85" s="23"/>
      <c r="E85" s="23"/>
      <c r="F85" s="23"/>
      <c r="G85" s="23"/>
      <c r="H85" s="23">
        <v>266.85000000000002</v>
      </c>
      <c r="I85" s="27"/>
      <c r="J85" s="24">
        <f t="shared" si="5"/>
        <v>39420.44</v>
      </c>
      <c r="K85" s="24">
        <f t="shared" si="6"/>
        <v>15648.67</v>
      </c>
    </row>
    <row r="86" spans="2:11" x14ac:dyDescent="0.25">
      <c r="B86" s="31">
        <v>42664</v>
      </c>
      <c r="C86" s="25" t="s">
        <v>1081</v>
      </c>
      <c r="D86" s="73"/>
      <c r="E86" s="73"/>
      <c r="F86" s="73"/>
      <c r="G86" s="28"/>
      <c r="H86" s="23">
        <v>100</v>
      </c>
      <c r="I86" s="27"/>
      <c r="J86" s="24">
        <f t="shared" si="5"/>
        <v>39420.44</v>
      </c>
      <c r="K86" s="24">
        <f t="shared" si="6"/>
        <v>15548.67</v>
      </c>
    </row>
    <row r="87" spans="2:11" x14ac:dyDescent="0.25">
      <c r="B87" s="31">
        <v>42664</v>
      </c>
      <c r="C87" s="25" t="s">
        <v>1048</v>
      </c>
      <c r="D87" s="73"/>
      <c r="E87" s="73"/>
      <c r="F87" s="73"/>
      <c r="G87" s="28"/>
      <c r="H87" s="23">
        <v>1000</v>
      </c>
      <c r="I87" s="27"/>
      <c r="J87" s="24">
        <f t="shared" si="5"/>
        <v>39420.44</v>
      </c>
      <c r="K87" s="24">
        <f t="shared" si="6"/>
        <v>14548.67</v>
      </c>
    </row>
    <row r="88" spans="2:11" x14ac:dyDescent="0.25">
      <c r="B88" s="31">
        <v>42664</v>
      </c>
      <c r="C88" s="25" t="s">
        <v>1049</v>
      </c>
      <c r="D88" s="73"/>
      <c r="E88" s="73"/>
      <c r="F88" s="73"/>
      <c r="G88" s="28"/>
      <c r="H88" s="23">
        <v>10</v>
      </c>
      <c r="I88" s="27"/>
      <c r="J88" s="24">
        <f t="shared" si="5"/>
        <v>39420.44</v>
      </c>
      <c r="K88" s="24">
        <f t="shared" si="6"/>
        <v>14538.67</v>
      </c>
    </row>
    <row r="89" spans="2:11" x14ac:dyDescent="0.25">
      <c r="B89" s="31">
        <v>42665</v>
      </c>
      <c r="C89" s="25" t="s">
        <v>1050</v>
      </c>
      <c r="D89" s="73"/>
      <c r="E89" s="73"/>
      <c r="F89" s="73"/>
      <c r="G89" s="28"/>
      <c r="H89" s="23">
        <v>700</v>
      </c>
      <c r="I89" s="27"/>
      <c r="J89" s="24">
        <f t="shared" si="5"/>
        <v>39420.44</v>
      </c>
      <c r="K89" s="24">
        <f t="shared" si="6"/>
        <v>13838.67</v>
      </c>
    </row>
    <row r="90" spans="2:11" x14ac:dyDescent="0.25">
      <c r="B90" s="31">
        <v>42665</v>
      </c>
      <c r="C90" s="25" t="s">
        <v>1051</v>
      </c>
      <c r="D90" s="73"/>
      <c r="E90" s="73"/>
      <c r="F90" s="73"/>
      <c r="G90" s="73"/>
      <c r="H90" s="23">
        <v>250</v>
      </c>
      <c r="I90" s="27"/>
      <c r="J90" s="24">
        <f t="shared" si="5"/>
        <v>39420.44</v>
      </c>
      <c r="K90" s="24">
        <f t="shared" si="6"/>
        <v>13588.67</v>
      </c>
    </row>
    <row r="91" spans="2:11" x14ac:dyDescent="0.25">
      <c r="B91" s="31">
        <v>42665</v>
      </c>
      <c r="C91" s="25" t="s">
        <v>1052</v>
      </c>
      <c r="D91" s="73"/>
      <c r="E91" s="73"/>
      <c r="F91" s="73"/>
      <c r="G91" s="73"/>
      <c r="H91" s="23">
        <v>397</v>
      </c>
      <c r="I91" s="27"/>
      <c r="J91" s="24">
        <f t="shared" si="5"/>
        <v>39420.44</v>
      </c>
      <c r="K91" s="24">
        <f t="shared" si="6"/>
        <v>13191.67</v>
      </c>
    </row>
    <row r="92" spans="2:11" x14ac:dyDescent="0.25">
      <c r="B92" s="31">
        <v>42665</v>
      </c>
      <c r="C92" s="21" t="s">
        <v>1055</v>
      </c>
      <c r="D92" s="23"/>
      <c r="E92" s="23"/>
      <c r="F92" s="23"/>
      <c r="G92" s="23"/>
      <c r="H92" s="23">
        <v>350</v>
      </c>
      <c r="I92" s="27"/>
      <c r="J92" s="24">
        <f t="shared" si="5"/>
        <v>39420.44</v>
      </c>
      <c r="K92" s="24">
        <f t="shared" si="6"/>
        <v>12841.67</v>
      </c>
    </row>
    <row r="93" spans="2:11" x14ac:dyDescent="0.25">
      <c r="B93" s="31">
        <v>42665</v>
      </c>
      <c r="C93" s="21" t="s">
        <v>1056</v>
      </c>
      <c r="D93" s="23"/>
      <c r="E93" s="23"/>
      <c r="F93" s="23"/>
      <c r="G93" s="23"/>
      <c r="H93" s="23">
        <v>50</v>
      </c>
      <c r="I93" s="27"/>
      <c r="J93" s="24">
        <f t="shared" si="5"/>
        <v>39420.44</v>
      </c>
      <c r="K93" s="24">
        <f t="shared" si="6"/>
        <v>12791.67</v>
      </c>
    </row>
    <row r="94" spans="2:11" x14ac:dyDescent="0.25">
      <c r="B94" s="31">
        <v>42665</v>
      </c>
      <c r="C94" s="21" t="s">
        <v>1082</v>
      </c>
      <c r="D94" s="23"/>
      <c r="E94" s="23"/>
      <c r="F94" s="23"/>
      <c r="G94" s="23"/>
      <c r="H94" s="23">
        <v>150</v>
      </c>
      <c r="I94" s="27"/>
      <c r="J94" s="24">
        <f t="shared" ref="J94:J109" si="7">+J93+E94-G94</f>
        <v>39420.44</v>
      </c>
      <c r="K94" s="24">
        <f t="shared" ref="K94:K109" si="8">+K93+D94-H94</f>
        <v>12641.67</v>
      </c>
    </row>
    <row r="95" spans="2:11" x14ac:dyDescent="0.25">
      <c r="B95" s="31">
        <v>42666</v>
      </c>
      <c r="C95" s="21" t="s">
        <v>1030</v>
      </c>
      <c r="D95" s="23"/>
      <c r="E95" s="23"/>
      <c r="F95" s="23"/>
      <c r="G95" s="23"/>
      <c r="H95" s="23">
        <v>120</v>
      </c>
      <c r="I95" s="27"/>
      <c r="J95" s="24">
        <f t="shared" si="7"/>
        <v>39420.44</v>
      </c>
      <c r="K95" s="24">
        <f t="shared" si="8"/>
        <v>12521.67</v>
      </c>
    </row>
    <row r="96" spans="2:11" x14ac:dyDescent="0.25">
      <c r="B96" s="31">
        <v>42666</v>
      </c>
      <c r="C96" s="21" t="s">
        <v>1067</v>
      </c>
      <c r="D96" s="23"/>
      <c r="E96" s="23"/>
      <c r="F96" s="23"/>
      <c r="G96" s="23"/>
      <c r="H96" s="23">
        <v>98.5</v>
      </c>
      <c r="I96" s="27"/>
      <c r="J96" s="24">
        <f t="shared" si="7"/>
        <v>39420.44</v>
      </c>
      <c r="K96" s="24">
        <f t="shared" si="8"/>
        <v>12423.17</v>
      </c>
    </row>
    <row r="97" spans="2:12" x14ac:dyDescent="0.25">
      <c r="B97" s="31">
        <v>42666</v>
      </c>
      <c r="C97" s="21" t="s">
        <v>1057</v>
      </c>
      <c r="D97" s="23"/>
      <c r="E97" s="23"/>
      <c r="F97" s="23"/>
      <c r="G97" s="23"/>
      <c r="H97" s="23">
        <v>33.5</v>
      </c>
      <c r="I97" s="27"/>
      <c r="J97" s="24">
        <f t="shared" si="7"/>
        <v>39420.44</v>
      </c>
      <c r="K97" s="24">
        <f t="shared" si="8"/>
        <v>12389.67</v>
      </c>
    </row>
    <row r="98" spans="2:12" x14ac:dyDescent="0.25">
      <c r="B98" s="31">
        <v>42666</v>
      </c>
      <c r="C98" s="21" t="s">
        <v>1058</v>
      </c>
      <c r="D98" s="23"/>
      <c r="E98" s="23"/>
      <c r="F98" s="23"/>
      <c r="G98" s="23"/>
      <c r="H98" s="23">
        <v>5</v>
      </c>
      <c r="I98" s="27"/>
      <c r="J98" s="24">
        <f t="shared" si="7"/>
        <v>39420.44</v>
      </c>
      <c r="K98" s="24">
        <f t="shared" si="8"/>
        <v>12384.67</v>
      </c>
    </row>
    <row r="99" spans="2:12" x14ac:dyDescent="0.25">
      <c r="B99" s="31">
        <v>42666</v>
      </c>
      <c r="C99" s="62" t="s">
        <v>1059</v>
      </c>
      <c r="D99" s="23"/>
      <c r="E99" s="23"/>
      <c r="F99" s="23"/>
      <c r="G99" s="23"/>
      <c r="H99" s="23">
        <v>7.9</v>
      </c>
      <c r="I99" s="27"/>
      <c r="J99" s="24">
        <f t="shared" si="7"/>
        <v>39420.44</v>
      </c>
      <c r="K99" s="24">
        <f t="shared" si="8"/>
        <v>12376.77</v>
      </c>
    </row>
    <row r="100" spans="2:12" x14ac:dyDescent="0.25">
      <c r="B100" s="31">
        <v>42666</v>
      </c>
      <c r="C100" s="60" t="s">
        <v>1060</v>
      </c>
      <c r="D100" s="23"/>
      <c r="E100" s="23"/>
      <c r="F100" s="23"/>
      <c r="G100" s="23"/>
      <c r="H100" s="23">
        <v>190.4</v>
      </c>
      <c r="I100" s="27"/>
      <c r="J100" s="24">
        <f t="shared" si="7"/>
        <v>39420.44</v>
      </c>
      <c r="K100" s="24">
        <f t="shared" si="8"/>
        <v>12186.37</v>
      </c>
    </row>
    <row r="101" spans="2:12" x14ac:dyDescent="0.25">
      <c r="B101" s="31">
        <v>42666</v>
      </c>
      <c r="C101" s="21" t="s">
        <v>1061</v>
      </c>
      <c r="D101" s="23"/>
      <c r="E101" s="23"/>
      <c r="F101" s="23"/>
      <c r="G101" s="23"/>
      <c r="H101" s="23">
        <v>300</v>
      </c>
      <c r="I101" s="27"/>
      <c r="J101" s="24">
        <f t="shared" si="7"/>
        <v>39420.44</v>
      </c>
      <c r="K101" s="24">
        <f t="shared" si="8"/>
        <v>11886.37</v>
      </c>
    </row>
    <row r="102" spans="2:12" x14ac:dyDescent="0.25">
      <c r="B102" s="31">
        <v>42666</v>
      </c>
      <c r="C102" s="21" t="s">
        <v>1062</v>
      </c>
      <c r="D102" s="23"/>
      <c r="E102" s="23"/>
      <c r="F102" s="23"/>
      <c r="G102" s="23"/>
      <c r="H102" s="23">
        <v>400</v>
      </c>
      <c r="I102" s="27"/>
      <c r="J102" s="24">
        <f t="shared" si="7"/>
        <v>39420.44</v>
      </c>
      <c r="K102" s="24">
        <f t="shared" si="8"/>
        <v>11486.37</v>
      </c>
    </row>
    <row r="103" spans="2:12" x14ac:dyDescent="0.25">
      <c r="B103" s="31">
        <v>42666</v>
      </c>
      <c r="C103" s="21" t="s">
        <v>1063</v>
      </c>
      <c r="D103" s="23"/>
      <c r="E103" s="23"/>
      <c r="F103" s="23"/>
      <c r="G103" s="23"/>
      <c r="H103" s="23">
        <v>400</v>
      </c>
      <c r="I103" s="27"/>
      <c r="J103" s="24">
        <f t="shared" si="7"/>
        <v>39420.44</v>
      </c>
      <c r="K103" s="24">
        <f t="shared" si="8"/>
        <v>11086.37</v>
      </c>
    </row>
    <row r="104" spans="2:12" x14ac:dyDescent="0.25">
      <c r="B104" s="31">
        <v>42667</v>
      </c>
      <c r="C104" s="21" t="s">
        <v>1064</v>
      </c>
      <c r="D104" s="23"/>
      <c r="E104" s="23"/>
      <c r="F104" s="23"/>
      <c r="G104" s="23"/>
      <c r="H104" s="23">
        <v>400</v>
      </c>
      <c r="I104" s="27"/>
      <c r="J104" s="24">
        <f t="shared" si="7"/>
        <v>39420.44</v>
      </c>
      <c r="K104" s="24">
        <f t="shared" si="8"/>
        <v>10686.37</v>
      </c>
    </row>
    <row r="105" spans="2:12" x14ac:dyDescent="0.25">
      <c r="B105" s="31">
        <v>42667</v>
      </c>
      <c r="C105" s="25" t="s">
        <v>1032</v>
      </c>
      <c r="D105" s="23"/>
      <c r="E105" s="23"/>
      <c r="F105" s="23"/>
      <c r="G105" s="23"/>
      <c r="H105" s="23">
        <v>310</v>
      </c>
      <c r="I105" s="27"/>
      <c r="J105" s="24">
        <f t="shared" si="7"/>
        <v>39420.44</v>
      </c>
      <c r="K105" s="24">
        <f t="shared" si="8"/>
        <v>10376.370000000001</v>
      </c>
      <c r="L105" s="1">
        <f>SUM(H58:H105)</f>
        <v>44417.950000000004</v>
      </c>
    </row>
    <row r="106" spans="2:12" x14ac:dyDescent="0.25">
      <c r="B106" s="31">
        <v>42667</v>
      </c>
      <c r="C106" s="21" t="s">
        <v>1068</v>
      </c>
      <c r="D106" s="23"/>
      <c r="E106" s="23"/>
      <c r="F106" s="23"/>
      <c r="G106" s="23"/>
      <c r="H106" s="23">
        <v>600</v>
      </c>
      <c r="I106" s="27"/>
      <c r="J106" s="24">
        <f t="shared" si="7"/>
        <v>39420.44</v>
      </c>
      <c r="K106" s="24">
        <f t="shared" si="8"/>
        <v>9776.3700000000008</v>
      </c>
    </row>
    <row r="107" spans="2:12" x14ac:dyDescent="0.25">
      <c r="B107" s="31">
        <v>42667</v>
      </c>
      <c r="C107" s="21" t="s">
        <v>1065</v>
      </c>
      <c r="D107" s="23">
        <v>12650</v>
      </c>
      <c r="E107" s="23"/>
      <c r="F107" s="23"/>
      <c r="G107" s="23"/>
      <c r="H107" s="23"/>
      <c r="I107" s="27"/>
      <c r="J107" s="24">
        <f t="shared" si="7"/>
        <v>39420.44</v>
      </c>
      <c r="K107" s="24">
        <f t="shared" si="8"/>
        <v>22426.370000000003</v>
      </c>
    </row>
    <row r="108" spans="2:12" x14ac:dyDescent="0.25">
      <c r="B108" s="31">
        <v>42667</v>
      </c>
      <c r="C108" s="21" t="s">
        <v>1083</v>
      </c>
      <c r="D108" s="23"/>
      <c r="E108" s="23"/>
      <c r="F108" s="23"/>
      <c r="G108" s="23"/>
      <c r="H108" s="23">
        <v>150</v>
      </c>
      <c r="I108" s="27"/>
      <c r="J108" s="24">
        <f t="shared" si="7"/>
        <v>39420.44</v>
      </c>
      <c r="K108" s="24">
        <f t="shared" si="8"/>
        <v>22276.370000000003</v>
      </c>
    </row>
    <row r="109" spans="2:12" ht="15.75" thickBot="1" x14ac:dyDescent="0.3">
      <c r="B109" s="31">
        <v>42667</v>
      </c>
      <c r="C109" s="21" t="s">
        <v>1084</v>
      </c>
      <c r="D109" s="23"/>
      <c r="E109" s="23"/>
      <c r="F109" s="23"/>
      <c r="G109" s="23"/>
      <c r="H109" s="23">
        <v>250</v>
      </c>
      <c r="I109" s="27"/>
      <c r="J109" s="24">
        <f t="shared" si="7"/>
        <v>39420.44</v>
      </c>
      <c r="K109" s="24">
        <f t="shared" si="8"/>
        <v>22026.370000000003</v>
      </c>
    </row>
    <row r="110" spans="2:12" ht="15.75" thickBot="1" x14ac:dyDescent="0.3">
      <c r="B110" s="13"/>
      <c r="C110" s="16" t="s">
        <v>0</v>
      </c>
      <c r="D110" s="105">
        <f>SUM(D56:D109)</f>
        <v>65225</v>
      </c>
      <c r="E110" s="103">
        <f>SUM(E56:E105)</f>
        <v>0</v>
      </c>
      <c r="F110" s="114">
        <f>SUM(D110:E110)</f>
        <v>65225</v>
      </c>
      <c r="G110" s="126">
        <f>SUM(G58:G109)</f>
        <v>14984</v>
      </c>
      <c r="H110" s="144">
        <f>SUM(H58:H109)</f>
        <v>45417.950000000004</v>
      </c>
      <c r="I110" s="114">
        <f>SUM(G110:H110)</f>
        <v>60401.950000000004</v>
      </c>
      <c r="J110" s="33">
        <v>39420.44</v>
      </c>
      <c r="K110" s="33"/>
    </row>
    <row r="111" spans="2:12" x14ac:dyDescent="0.25">
      <c r="B111" s="111" t="s">
        <v>1</v>
      </c>
      <c r="C111" s="111" t="s">
        <v>2</v>
      </c>
      <c r="D111" s="111" t="s">
        <v>3</v>
      </c>
      <c r="E111" s="111" t="s">
        <v>3</v>
      </c>
      <c r="F111" s="111" t="s">
        <v>323</v>
      </c>
      <c r="G111" s="111" t="s">
        <v>324</v>
      </c>
      <c r="H111" s="81" t="s">
        <v>324</v>
      </c>
      <c r="I111" s="81" t="s">
        <v>323</v>
      </c>
      <c r="J111" s="111" t="s">
        <v>174</v>
      </c>
      <c r="K111" s="81" t="s">
        <v>173</v>
      </c>
    </row>
    <row r="112" spans="2:12" ht="15.75" thickBot="1" x14ac:dyDescent="0.3">
      <c r="B112" s="112"/>
      <c r="C112" s="112"/>
      <c r="D112" s="112" t="s">
        <v>6</v>
      </c>
      <c r="E112" s="112" t="s">
        <v>325</v>
      </c>
      <c r="F112" s="112" t="s">
        <v>3</v>
      </c>
      <c r="G112" s="112" t="s">
        <v>325</v>
      </c>
      <c r="H112" s="113" t="s">
        <v>6</v>
      </c>
      <c r="I112" s="113" t="s">
        <v>5</v>
      </c>
      <c r="J112" s="112"/>
      <c r="K112" s="113"/>
    </row>
    <row r="113" spans="2:11" ht="15.75" thickBot="1" x14ac:dyDescent="0.3">
      <c r="B113" s="13"/>
      <c r="C113" s="16" t="s">
        <v>0</v>
      </c>
      <c r="D113" s="105">
        <v>65225</v>
      </c>
      <c r="E113" s="103">
        <v>0</v>
      </c>
      <c r="F113" s="114">
        <f>SUM(D113:E113)</f>
        <v>65225</v>
      </c>
      <c r="G113" s="126">
        <v>14984</v>
      </c>
      <c r="H113" s="105">
        <v>45417.95</v>
      </c>
      <c r="I113" s="114">
        <v>58891.95</v>
      </c>
      <c r="J113" s="32">
        <v>39420.44</v>
      </c>
      <c r="K113" s="32">
        <v>22026.37</v>
      </c>
    </row>
    <row r="114" spans="2:11" x14ac:dyDescent="0.25">
      <c r="B114" s="31">
        <v>42667</v>
      </c>
      <c r="C114" s="21" t="s">
        <v>1085</v>
      </c>
      <c r="D114" s="23"/>
      <c r="E114" s="23"/>
      <c r="F114" s="23"/>
      <c r="G114" s="23"/>
      <c r="H114" s="23">
        <v>100</v>
      </c>
      <c r="I114" s="27"/>
      <c r="J114" s="24">
        <f t="shared" ref="J114" si="9">+J113+E114-G114</f>
        <v>39420.44</v>
      </c>
      <c r="K114" s="24">
        <f>+K113+D114-H114</f>
        <v>21926.37</v>
      </c>
    </row>
    <row r="115" spans="2:11" x14ac:dyDescent="0.25">
      <c r="B115" s="31">
        <v>42667</v>
      </c>
      <c r="C115" s="21" t="s">
        <v>1086</v>
      </c>
      <c r="D115" s="23"/>
      <c r="E115" s="23"/>
      <c r="F115" s="23"/>
      <c r="G115" s="23"/>
      <c r="H115" s="23">
        <v>350</v>
      </c>
      <c r="I115" s="27"/>
      <c r="J115" s="24">
        <f t="shared" ref="J115:J131" si="10">+J114+E115-G115</f>
        <v>39420.44</v>
      </c>
      <c r="K115" s="24">
        <f t="shared" ref="K115:K131" si="11">+K114+D115-H115</f>
        <v>21576.37</v>
      </c>
    </row>
    <row r="116" spans="2:11" x14ac:dyDescent="0.25">
      <c r="B116" s="31">
        <v>42668</v>
      </c>
      <c r="C116" s="21" t="s">
        <v>1087</v>
      </c>
      <c r="D116" s="23"/>
      <c r="E116" s="23"/>
      <c r="F116" s="23"/>
      <c r="G116" s="23"/>
      <c r="H116" s="23">
        <v>300</v>
      </c>
      <c r="I116" s="27"/>
      <c r="J116" s="24">
        <f t="shared" si="10"/>
        <v>39420.44</v>
      </c>
      <c r="K116" s="24">
        <f t="shared" si="11"/>
        <v>21276.37</v>
      </c>
    </row>
    <row r="117" spans="2:11" x14ac:dyDescent="0.25">
      <c r="B117" s="31">
        <v>42668</v>
      </c>
      <c r="C117" s="21" t="s">
        <v>1088</v>
      </c>
      <c r="D117" s="23"/>
      <c r="E117" s="23"/>
      <c r="F117" s="23"/>
      <c r="G117" s="23"/>
      <c r="H117" s="23">
        <v>327.5</v>
      </c>
      <c r="I117" s="27"/>
      <c r="J117" s="24">
        <f t="shared" si="10"/>
        <v>39420.44</v>
      </c>
      <c r="K117" s="24">
        <f t="shared" si="11"/>
        <v>20948.87</v>
      </c>
    </row>
    <row r="118" spans="2:11" x14ac:dyDescent="0.25">
      <c r="B118" s="31">
        <v>42668</v>
      </c>
      <c r="C118" s="21" t="s">
        <v>1015</v>
      </c>
      <c r="D118" s="23"/>
      <c r="E118" s="23"/>
      <c r="F118" s="23"/>
      <c r="G118" s="23"/>
      <c r="H118" s="23">
        <v>349.5</v>
      </c>
      <c r="I118" s="27"/>
      <c r="J118" s="24">
        <f t="shared" si="10"/>
        <v>39420.44</v>
      </c>
      <c r="K118" s="24">
        <f t="shared" si="11"/>
        <v>20599.37</v>
      </c>
    </row>
    <row r="119" spans="2:11" x14ac:dyDescent="0.25">
      <c r="B119" s="31">
        <v>42668</v>
      </c>
      <c r="C119" s="21" t="s">
        <v>1089</v>
      </c>
      <c r="D119" s="23"/>
      <c r="E119" s="23"/>
      <c r="F119" s="23"/>
      <c r="G119" s="23"/>
      <c r="H119" s="23">
        <v>28</v>
      </c>
      <c r="I119" s="27"/>
      <c r="J119" s="24">
        <f t="shared" si="10"/>
        <v>39420.44</v>
      </c>
      <c r="K119" s="24">
        <f t="shared" si="11"/>
        <v>20571.37</v>
      </c>
    </row>
    <row r="120" spans="2:11" x14ac:dyDescent="0.25">
      <c r="B120" s="31">
        <v>42668</v>
      </c>
      <c r="C120" s="21" t="s">
        <v>1090</v>
      </c>
      <c r="D120" s="23"/>
      <c r="E120" s="23"/>
      <c r="F120" s="23"/>
      <c r="G120" s="23"/>
      <c r="H120" s="23">
        <v>30</v>
      </c>
      <c r="I120" s="27"/>
      <c r="J120" s="24">
        <f t="shared" si="10"/>
        <v>39420.44</v>
      </c>
      <c r="K120" s="24">
        <f t="shared" si="11"/>
        <v>20541.37</v>
      </c>
    </row>
    <row r="121" spans="2:11" x14ac:dyDescent="0.25">
      <c r="B121" s="31">
        <v>42668</v>
      </c>
      <c r="C121" s="21" t="s">
        <v>1091</v>
      </c>
      <c r="D121" s="23"/>
      <c r="E121" s="23"/>
      <c r="F121" s="23"/>
      <c r="G121" s="23"/>
      <c r="H121" s="23">
        <v>65</v>
      </c>
      <c r="I121" s="27"/>
      <c r="J121" s="24">
        <f t="shared" si="10"/>
        <v>39420.44</v>
      </c>
      <c r="K121" s="24">
        <f t="shared" si="11"/>
        <v>20476.37</v>
      </c>
    </row>
    <row r="122" spans="2:11" x14ac:dyDescent="0.25">
      <c r="B122" s="31">
        <v>42668</v>
      </c>
      <c r="C122" s="21" t="s">
        <v>1092</v>
      </c>
      <c r="D122" s="23"/>
      <c r="E122" s="23"/>
      <c r="F122" s="23"/>
      <c r="G122" s="23"/>
      <c r="H122" s="23">
        <v>44</v>
      </c>
      <c r="I122" s="27"/>
      <c r="J122" s="24">
        <f t="shared" si="10"/>
        <v>39420.44</v>
      </c>
      <c r="K122" s="24">
        <f t="shared" si="11"/>
        <v>20432.37</v>
      </c>
    </row>
    <row r="123" spans="2:11" x14ac:dyDescent="0.25">
      <c r="B123" s="31">
        <v>42669</v>
      </c>
      <c r="C123" s="21" t="s">
        <v>1093</v>
      </c>
      <c r="D123" s="23"/>
      <c r="E123" s="23"/>
      <c r="F123" s="23"/>
      <c r="G123" s="23"/>
      <c r="H123" s="23">
        <v>258</v>
      </c>
      <c r="I123" s="27"/>
      <c r="J123" s="24">
        <f t="shared" si="10"/>
        <v>39420.44</v>
      </c>
      <c r="K123" s="24">
        <f t="shared" si="11"/>
        <v>20174.37</v>
      </c>
    </row>
    <row r="124" spans="2:11" x14ac:dyDescent="0.25">
      <c r="B124" s="31">
        <v>42670</v>
      </c>
      <c r="C124" s="21" t="s">
        <v>1094</v>
      </c>
      <c r="D124" s="23"/>
      <c r="E124" s="23"/>
      <c r="F124" s="23"/>
      <c r="G124" s="23"/>
      <c r="H124" s="23">
        <v>908.7</v>
      </c>
      <c r="I124" s="27"/>
      <c r="J124" s="24">
        <f t="shared" si="10"/>
        <v>39420.44</v>
      </c>
      <c r="K124" s="24">
        <f t="shared" si="11"/>
        <v>19265.669999999998</v>
      </c>
    </row>
    <row r="125" spans="2:11" x14ac:dyDescent="0.25">
      <c r="B125" s="31">
        <v>42670</v>
      </c>
      <c r="C125" s="21" t="s">
        <v>1095</v>
      </c>
      <c r="D125" s="23"/>
      <c r="E125" s="23"/>
      <c r="F125" s="23"/>
      <c r="G125" s="23"/>
      <c r="H125" s="23">
        <v>584.66999999999996</v>
      </c>
      <c r="I125" s="27"/>
      <c r="J125" s="24">
        <f t="shared" si="10"/>
        <v>39420.44</v>
      </c>
      <c r="K125" s="24">
        <f t="shared" si="11"/>
        <v>18681</v>
      </c>
    </row>
    <row r="126" spans="2:11" x14ac:dyDescent="0.25">
      <c r="B126" s="31">
        <v>42670</v>
      </c>
      <c r="C126" s="21" t="s">
        <v>1096</v>
      </c>
      <c r="D126" s="23"/>
      <c r="E126" s="23"/>
      <c r="F126" s="23"/>
      <c r="G126" s="23"/>
      <c r="H126" s="23">
        <v>108.3</v>
      </c>
      <c r="I126" s="27"/>
      <c r="J126" s="24">
        <f t="shared" si="10"/>
        <v>39420.44</v>
      </c>
      <c r="K126" s="24">
        <f t="shared" si="11"/>
        <v>18572.7</v>
      </c>
    </row>
    <row r="127" spans="2:11" x14ac:dyDescent="0.25">
      <c r="B127" s="31">
        <v>42670</v>
      </c>
      <c r="C127" s="21" t="s">
        <v>1097</v>
      </c>
      <c r="D127" s="23"/>
      <c r="E127" s="23"/>
      <c r="F127" s="23"/>
      <c r="G127" s="23"/>
      <c r="H127" s="23">
        <v>360</v>
      </c>
      <c r="I127" s="27"/>
      <c r="J127" s="24">
        <f t="shared" si="10"/>
        <v>39420.44</v>
      </c>
      <c r="K127" s="24">
        <f t="shared" si="11"/>
        <v>18212.7</v>
      </c>
    </row>
    <row r="128" spans="2:11" x14ac:dyDescent="0.25">
      <c r="B128" s="31">
        <v>42670</v>
      </c>
      <c r="C128" s="21" t="s">
        <v>1000</v>
      </c>
      <c r="D128" s="23"/>
      <c r="E128" s="23"/>
      <c r="F128" s="23"/>
      <c r="G128" s="23"/>
      <c r="H128" s="23">
        <v>5</v>
      </c>
      <c r="I128" s="27"/>
      <c r="J128" s="24">
        <f t="shared" si="10"/>
        <v>39420.44</v>
      </c>
      <c r="K128" s="24">
        <f t="shared" si="11"/>
        <v>18207.7</v>
      </c>
    </row>
    <row r="129" spans="2:11" x14ac:dyDescent="0.25">
      <c r="B129" s="31">
        <v>42671</v>
      </c>
      <c r="C129" s="21" t="s">
        <v>1098</v>
      </c>
      <c r="D129" s="73"/>
      <c r="E129" s="73"/>
      <c r="F129" s="73"/>
      <c r="G129" s="73"/>
      <c r="H129" s="23">
        <v>1000</v>
      </c>
      <c r="I129" s="27"/>
      <c r="J129" s="24">
        <f t="shared" si="10"/>
        <v>39420.44</v>
      </c>
      <c r="K129" s="24">
        <f t="shared" si="11"/>
        <v>17207.7</v>
      </c>
    </row>
    <row r="130" spans="2:11" x14ac:dyDescent="0.25">
      <c r="B130" s="31">
        <v>42671</v>
      </c>
      <c r="C130" s="25" t="s">
        <v>1099</v>
      </c>
      <c r="D130" s="73"/>
      <c r="E130" s="73"/>
      <c r="F130" s="73"/>
      <c r="G130" s="28"/>
      <c r="H130" s="23">
        <v>300</v>
      </c>
      <c r="I130" s="27"/>
      <c r="J130" s="24">
        <f t="shared" si="10"/>
        <v>39420.44</v>
      </c>
      <c r="K130" s="24">
        <f t="shared" si="11"/>
        <v>16907.7</v>
      </c>
    </row>
    <row r="131" spans="2:11" x14ac:dyDescent="0.25">
      <c r="B131" s="31">
        <v>42672</v>
      </c>
      <c r="C131" s="25" t="s">
        <v>1100</v>
      </c>
      <c r="D131" s="73"/>
      <c r="E131" s="73"/>
      <c r="F131" s="73"/>
      <c r="G131" s="73"/>
      <c r="H131" s="23">
        <v>500</v>
      </c>
      <c r="I131" s="27"/>
      <c r="J131" s="24">
        <f t="shared" si="10"/>
        <v>39420.44</v>
      </c>
      <c r="K131" s="24">
        <f t="shared" si="11"/>
        <v>16407.7</v>
      </c>
    </row>
    <row r="132" spans="2:11" x14ac:dyDescent="0.25">
      <c r="B132" s="31">
        <v>42672</v>
      </c>
      <c r="C132" s="25" t="s">
        <v>1101</v>
      </c>
      <c r="D132" s="73"/>
      <c r="E132" s="73"/>
      <c r="F132" s="73"/>
      <c r="G132" s="73"/>
      <c r="H132" s="23">
        <v>24</v>
      </c>
      <c r="I132" s="27"/>
      <c r="J132" s="24">
        <f t="shared" ref="J132" si="12">+J131+E132-G132</f>
        <v>39420.44</v>
      </c>
      <c r="K132" s="24">
        <f t="shared" ref="K132" si="13">+K131+D132-H132</f>
        <v>16383.7</v>
      </c>
    </row>
    <row r="133" spans="2:11" x14ac:dyDescent="0.25">
      <c r="B133" s="31">
        <v>42674</v>
      </c>
      <c r="C133" s="25" t="s">
        <v>1111</v>
      </c>
      <c r="D133" s="73">
        <v>17900</v>
      </c>
      <c r="E133" s="73"/>
      <c r="F133" s="73"/>
      <c r="G133" s="73"/>
      <c r="H133" s="23"/>
      <c r="I133" s="27"/>
      <c r="J133" s="24">
        <f t="shared" ref="J133:J144" si="14">+J132+E133-G133</f>
        <v>39420.44</v>
      </c>
      <c r="K133" s="24">
        <f t="shared" ref="K133:K144" si="15">+K132+D133-H133</f>
        <v>34283.699999999997</v>
      </c>
    </row>
    <row r="134" spans="2:11" x14ac:dyDescent="0.25">
      <c r="B134" s="31">
        <v>42674</v>
      </c>
      <c r="C134" s="25" t="s">
        <v>446</v>
      </c>
      <c r="D134" s="73"/>
      <c r="E134" s="73"/>
      <c r="F134" s="73"/>
      <c r="G134" s="73"/>
      <c r="H134" s="23">
        <v>120</v>
      </c>
      <c r="I134" s="27"/>
      <c r="J134" s="24">
        <f t="shared" si="14"/>
        <v>39420.44</v>
      </c>
      <c r="K134" s="24">
        <f t="shared" si="15"/>
        <v>34163.699999999997</v>
      </c>
    </row>
    <row r="135" spans="2:11" x14ac:dyDescent="0.25">
      <c r="B135" s="31">
        <v>42674</v>
      </c>
      <c r="C135" s="25" t="s">
        <v>1102</v>
      </c>
      <c r="D135" s="73"/>
      <c r="E135" s="73"/>
      <c r="F135" s="73"/>
      <c r="G135" s="73"/>
      <c r="H135" s="23">
        <v>100</v>
      </c>
      <c r="I135" s="27"/>
      <c r="J135" s="24">
        <f t="shared" si="14"/>
        <v>39420.44</v>
      </c>
      <c r="K135" s="24">
        <f t="shared" si="15"/>
        <v>34063.699999999997</v>
      </c>
    </row>
    <row r="136" spans="2:11" x14ac:dyDescent="0.25">
      <c r="B136" s="31">
        <v>42674</v>
      </c>
      <c r="C136" s="25" t="s">
        <v>1103</v>
      </c>
      <c r="D136" s="73"/>
      <c r="E136" s="73"/>
      <c r="F136" s="73"/>
      <c r="G136" s="73"/>
      <c r="H136" s="23">
        <v>95.5</v>
      </c>
      <c r="I136" s="27"/>
      <c r="J136" s="24">
        <f t="shared" si="14"/>
        <v>39420.44</v>
      </c>
      <c r="K136" s="24">
        <f t="shared" si="15"/>
        <v>33968.199999999997</v>
      </c>
    </row>
    <row r="137" spans="2:11" x14ac:dyDescent="0.25">
      <c r="B137" s="31">
        <v>42674</v>
      </c>
      <c r="C137" s="25" t="s">
        <v>1104</v>
      </c>
      <c r="D137" s="73"/>
      <c r="E137" s="73"/>
      <c r="F137" s="73"/>
      <c r="G137" s="73"/>
      <c r="H137" s="23">
        <v>400</v>
      </c>
      <c r="I137" s="27"/>
      <c r="J137" s="24">
        <f t="shared" si="14"/>
        <v>39420.44</v>
      </c>
      <c r="K137" s="24">
        <f t="shared" si="15"/>
        <v>33568.199999999997</v>
      </c>
    </row>
    <row r="138" spans="2:11" x14ac:dyDescent="0.25">
      <c r="B138" s="31">
        <v>42674</v>
      </c>
      <c r="C138" s="25" t="s">
        <v>1105</v>
      </c>
      <c r="D138" s="73"/>
      <c r="E138" s="73"/>
      <c r="F138" s="73"/>
      <c r="G138" s="73"/>
      <c r="H138" s="23">
        <v>450</v>
      </c>
      <c r="I138" s="27"/>
      <c r="J138" s="24">
        <f t="shared" si="14"/>
        <v>39420.44</v>
      </c>
      <c r="K138" s="24">
        <f t="shared" si="15"/>
        <v>33118.199999999997</v>
      </c>
    </row>
    <row r="139" spans="2:11" x14ac:dyDescent="0.25">
      <c r="B139" s="31">
        <v>42674</v>
      </c>
      <c r="C139" s="60" t="s">
        <v>1106</v>
      </c>
      <c r="D139" s="23"/>
      <c r="E139" s="23"/>
      <c r="F139" s="23"/>
      <c r="G139" s="23"/>
      <c r="H139" s="23">
        <v>300</v>
      </c>
      <c r="I139" s="27"/>
      <c r="J139" s="24">
        <f t="shared" si="14"/>
        <v>39420.44</v>
      </c>
      <c r="K139" s="24">
        <f t="shared" si="15"/>
        <v>32818.199999999997</v>
      </c>
    </row>
    <row r="140" spans="2:11" x14ac:dyDescent="0.25">
      <c r="B140" s="31">
        <v>42674</v>
      </c>
      <c r="C140" s="25" t="s">
        <v>1107</v>
      </c>
      <c r="D140" s="23"/>
      <c r="E140" s="23"/>
      <c r="F140" s="23"/>
      <c r="G140" s="23"/>
      <c r="H140" s="23">
        <v>450</v>
      </c>
      <c r="I140" s="27"/>
      <c r="J140" s="24">
        <f t="shared" si="14"/>
        <v>39420.44</v>
      </c>
      <c r="K140" s="24">
        <f t="shared" si="15"/>
        <v>32368.199999999997</v>
      </c>
    </row>
    <row r="141" spans="2:11" x14ac:dyDescent="0.25">
      <c r="B141" s="31">
        <v>42674</v>
      </c>
      <c r="C141" s="21" t="s">
        <v>1011</v>
      </c>
      <c r="D141" s="23"/>
      <c r="E141" s="23"/>
      <c r="F141" s="23"/>
      <c r="G141" s="23"/>
      <c r="H141" s="23">
        <v>320</v>
      </c>
      <c r="I141" s="27"/>
      <c r="J141" s="24">
        <f t="shared" si="14"/>
        <v>39420.44</v>
      </c>
      <c r="K141" s="24">
        <f t="shared" si="15"/>
        <v>32048.199999999997</v>
      </c>
    </row>
    <row r="142" spans="2:11" x14ac:dyDescent="0.25">
      <c r="B142" s="31">
        <v>42674</v>
      </c>
      <c r="C142" s="21" t="s">
        <v>1108</v>
      </c>
      <c r="D142" s="23"/>
      <c r="E142" s="23"/>
      <c r="F142" s="23"/>
      <c r="G142" s="23"/>
      <c r="H142" s="23">
        <v>128</v>
      </c>
      <c r="I142" s="27"/>
      <c r="J142" s="24">
        <f t="shared" si="14"/>
        <v>39420.44</v>
      </c>
      <c r="K142" s="24">
        <f t="shared" si="15"/>
        <v>31920.199999999997</v>
      </c>
    </row>
    <row r="143" spans="2:11" x14ac:dyDescent="0.25">
      <c r="B143" s="31">
        <v>42674</v>
      </c>
      <c r="C143" s="21" t="s">
        <v>1109</v>
      </c>
      <c r="D143" s="23"/>
      <c r="E143" s="23"/>
      <c r="F143" s="23"/>
      <c r="G143" s="23"/>
      <c r="H143" s="23">
        <v>379.91</v>
      </c>
      <c r="I143" s="27"/>
      <c r="J143" s="24">
        <f t="shared" si="14"/>
        <v>39420.44</v>
      </c>
      <c r="K143" s="24">
        <f t="shared" si="15"/>
        <v>31540.289999999997</v>
      </c>
    </row>
    <row r="144" spans="2:11" x14ac:dyDescent="0.25">
      <c r="B144" s="31">
        <v>42674</v>
      </c>
      <c r="C144" s="21" t="s">
        <v>1110</v>
      </c>
      <c r="D144" s="23"/>
      <c r="E144" s="23"/>
      <c r="F144" s="23"/>
      <c r="G144" s="23"/>
      <c r="H144" s="23">
        <v>19000</v>
      </c>
      <c r="I144" s="27"/>
      <c r="J144" s="24">
        <f t="shared" si="14"/>
        <v>39420.44</v>
      </c>
      <c r="K144" s="24">
        <f t="shared" si="15"/>
        <v>12540.289999999997</v>
      </c>
    </row>
    <row r="145" spans="2:11" x14ac:dyDescent="0.25">
      <c r="B145" s="31">
        <v>42674</v>
      </c>
      <c r="C145" s="21" t="s">
        <v>1112</v>
      </c>
      <c r="D145" s="23"/>
      <c r="E145" s="23"/>
      <c r="F145" s="23"/>
      <c r="G145" s="23"/>
      <c r="H145" s="23">
        <v>4000</v>
      </c>
      <c r="I145" s="27"/>
      <c r="J145" s="24">
        <f t="shared" ref="J145:J148" si="16">+J144+E145-G145</f>
        <v>39420.44</v>
      </c>
      <c r="K145" s="24">
        <f t="shared" ref="K145:K148" si="17">+K144+D145-H145</f>
        <v>8540.2899999999972</v>
      </c>
    </row>
    <row r="146" spans="2:11" x14ac:dyDescent="0.25">
      <c r="B146" s="31">
        <v>42648</v>
      </c>
      <c r="C146" s="21" t="s">
        <v>1113</v>
      </c>
      <c r="D146" s="23"/>
      <c r="E146" s="23">
        <v>300.45999999999998</v>
      </c>
      <c r="F146" s="23"/>
      <c r="G146" s="23"/>
      <c r="H146" s="23"/>
      <c r="I146" s="27"/>
      <c r="J146" s="24">
        <f t="shared" si="16"/>
        <v>39720.9</v>
      </c>
      <c r="K146" s="24">
        <f t="shared" si="17"/>
        <v>8540.2899999999972</v>
      </c>
    </row>
    <row r="147" spans="2:11" x14ac:dyDescent="0.25">
      <c r="B147" s="31">
        <v>42663</v>
      </c>
      <c r="C147" s="21" t="s">
        <v>1115</v>
      </c>
      <c r="D147" s="23"/>
      <c r="E147" s="23">
        <v>12760</v>
      </c>
      <c r="F147" s="23"/>
      <c r="G147" s="23"/>
      <c r="H147" s="23"/>
      <c r="I147" s="27"/>
      <c r="J147" s="24">
        <f t="shared" si="16"/>
        <v>52480.9</v>
      </c>
      <c r="K147" s="24">
        <f t="shared" si="17"/>
        <v>8540.2899999999972</v>
      </c>
    </row>
    <row r="148" spans="2:11" x14ac:dyDescent="0.25">
      <c r="B148" s="31">
        <v>42674</v>
      </c>
      <c r="C148" s="21" t="s">
        <v>1114</v>
      </c>
      <c r="D148" s="23"/>
      <c r="E148" s="23"/>
      <c r="F148" s="23"/>
      <c r="G148" s="23">
        <v>42</v>
      </c>
      <c r="H148" s="23"/>
      <c r="I148" s="27"/>
      <c r="J148" s="24">
        <f t="shared" si="16"/>
        <v>52438.9</v>
      </c>
      <c r="K148" s="24">
        <f t="shared" si="17"/>
        <v>8540.2899999999972</v>
      </c>
    </row>
    <row r="149" spans="2:11" ht="15.75" thickBot="1" x14ac:dyDescent="0.3">
      <c r="B149" s="31">
        <v>42674</v>
      </c>
      <c r="C149" s="21" t="s">
        <v>1117</v>
      </c>
      <c r="D149" s="23"/>
      <c r="E149" s="23"/>
      <c r="F149" s="23"/>
      <c r="G149" s="23">
        <v>6.72</v>
      </c>
      <c r="H149" s="92"/>
      <c r="I149" s="27"/>
      <c r="J149" s="24">
        <f>+J148+E149-G149</f>
        <v>52432.18</v>
      </c>
      <c r="K149" s="24">
        <f>+K148+D149-H149</f>
        <v>8540.2899999999972</v>
      </c>
    </row>
    <row r="150" spans="2:11" ht="15.75" thickBot="1" x14ac:dyDescent="0.3">
      <c r="B150" s="13"/>
      <c r="C150" s="16" t="s">
        <v>0</v>
      </c>
      <c r="D150" s="105">
        <f>SUM(D113:D149)</f>
        <v>83125</v>
      </c>
      <c r="E150" s="103">
        <f>SUM(E113:E149)</f>
        <v>13060.46</v>
      </c>
      <c r="F150" s="114">
        <f>SUM(D150:E150)</f>
        <v>96185.459999999992</v>
      </c>
      <c r="G150" s="126">
        <f>SUM(G113:G149)</f>
        <v>15032.72</v>
      </c>
      <c r="H150" s="105">
        <f>SUM(H113:H149)</f>
        <v>76804.03</v>
      </c>
      <c r="I150" s="114">
        <f>SUM(G150:H150)</f>
        <v>91836.75</v>
      </c>
      <c r="J150" s="33"/>
      <c r="K150" s="33"/>
    </row>
    <row r="152" spans="2:11" ht="15.75" thickBot="1" x14ac:dyDescent="0.3"/>
    <row r="153" spans="2:11" ht="15.75" thickBot="1" x14ac:dyDescent="0.3">
      <c r="I153" s="117" t="s">
        <v>174</v>
      </c>
      <c r="J153" s="117" t="s">
        <v>173</v>
      </c>
      <c r="K153" s="141" t="s">
        <v>0</v>
      </c>
    </row>
    <row r="154" spans="2:11" ht="15.75" thickBot="1" x14ac:dyDescent="0.3">
      <c r="I154" s="120">
        <v>52432.18</v>
      </c>
      <c r="J154" s="120">
        <v>8540.2900000000009</v>
      </c>
      <c r="K154" s="33">
        <f>SUM(I154:J154)</f>
        <v>60972.47</v>
      </c>
    </row>
  </sheetData>
  <printOptions verticalCentered="1"/>
  <pageMargins left="0.70866141732283472" right="0" top="0.39370078740157483" bottom="0" header="0.31496062992125984" footer="0.31496062992125984"/>
  <pageSetup paperSize="9" scale="69" fitToHeight="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57"/>
  <sheetViews>
    <sheetView zoomScale="90" zoomScaleNormal="90" workbookViewId="0">
      <pane ySplit="3" topLeftCell="A142" activePane="bottomLeft" state="frozen"/>
      <selection pane="bottomLeft" activeCell="I156" sqref="I156:K157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6" width="11.7109375" customWidth="1"/>
  </cols>
  <sheetData>
    <row r="1" spans="2:11" ht="15.75" thickBot="1" x14ac:dyDescent="0.3">
      <c r="B1" s="125"/>
      <c r="C1" s="145" t="s">
        <v>1134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1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42674</v>
      </c>
      <c r="C4" s="108" t="s">
        <v>1131</v>
      </c>
      <c r="D4" s="109"/>
      <c r="E4" s="106"/>
      <c r="F4" s="106"/>
      <c r="G4" s="106"/>
      <c r="H4" s="30"/>
      <c r="I4" s="107"/>
      <c r="J4" s="116">
        <v>52432.18</v>
      </c>
      <c r="K4" s="143">
        <v>8540.2900000000009</v>
      </c>
    </row>
    <row r="5" spans="2:11" x14ac:dyDescent="0.25">
      <c r="B5" s="36">
        <v>42675</v>
      </c>
      <c r="C5" s="21" t="s">
        <v>1135</v>
      </c>
      <c r="D5" s="23"/>
      <c r="E5" s="23"/>
      <c r="F5" s="23"/>
      <c r="G5" s="23">
        <v>10000</v>
      </c>
      <c r="H5" s="23"/>
      <c r="I5" s="27"/>
      <c r="J5" s="24">
        <f>+J4+E5-G5</f>
        <v>42432.18</v>
      </c>
      <c r="K5" s="24">
        <f t="shared" ref="K5:K37" si="0">+K4+D5-H5</f>
        <v>8540.2900000000009</v>
      </c>
    </row>
    <row r="6" spans="2:11" x14ac:dyDescent="0.25">
      <c r="B6" s="36">
        <v>42675</v>
      </c>
      <c r="C6" s="25" t="s">
        <v>1137</v>
      </c>
      <c r="D6" s="23"/>
      <c r="E6" s="23"/>
      <c r="F6" s="23"/>
      <c r="G6" s="23"/>
      <c r="H6" s="23">
        <v>370</v>
      </c>
      <c r="I6" s="27"/>
      <c r="J6" s="24">
        <f t="shared" ref="J6:J37" si="1">+J5+E6-G6</f>
        <v>42432.18</v>
      </c>
      <c r="K6" s="24">
        <f t="shared" si="0"/>
        <v>8170.2900000000009</v>
      </c>
    </row>
    <row r="7" spans="2:11" x14ac:dyDescent="0.25">
      <c r="B7" s="31">
        <v>42676</v>
      </c>
      <c r="C7" s="21" t="s">
        <v>1144</v>
      </c>
      <c r="D7" s="23"/>
      <c r="E7" s="23"/>
      <c r="F7" s="23"/>
      <c r="G7" s="23"/>
      <c r="H7" s="92">
        <v>150</v>
      </c>
      <c r="I7" s="27"/>
      <c r="J7" s="24">
        <f t="shared" si="1"/>
        <v>42432.18</v>
      </c>
      <c r="K7" s="24">
        <f t="shared" si="0"/>
        <v>8020.2900000000009</v>
      </c>
    </row>
    <row r="8" spans="2:11" x14ac:dyDescent="0.25">
      <c r="B8" s="31">
        <v>42676</v>
      </c>
      <c r="C8" s="25" t="s">
        <v>1138</v>
      </c>
      <c r="D8" s="23"/>
      <c r="E8" s="23"/>
      <c r="F8" s="23"/>
      <c r="G8" s="23"/>
      <c r="H8" s="23">
        <v>209.7</v>
      </c>
      <c r="I8" s="27"/>
      <c r="J8" s="24">
        <f t="shared" si="1"/>
        <v>42432.18</v>
      </c>
      <c r="K8" s="24">
        <f t="shared" si="0"/>
        <v>7810.5900000000011</v>
      </c>
    </row>
    <row r="9" spans="2:11" x14ac:dyDescent="0.25">
      <c r="B9" s="31">
        <v>42676</v>
      </c>
      <c r="C9" s="21" t="s">
        <v>1139</v>
      </c>
      <c r="D9" s="23"/>
      <c r="E9" s="23"/>
      <c r="F9" s="23"/>
      <c r="G9" s="23"/>
      <c r="H9" s="92">
        <v>750</v>
      </c>
      <c r="I9" s="27"/>
      <c r="J9" s="24">
        <f t="shared" si="1"/>
        <v>42432.18</v>
      </c>
      <c r="K9" s="24">
        <f t="shared" si="0"/>
        <v>7060.5900000000011</v>
      </c>
    </row>
    <row r="10" spans="2:11" x14ac:dyDescent="0.25">
      <c r="B10" s="31">
        <v>42676</v>
      </c>
      <c r="C10" s="21" t="s">
        <v>1140</v>
      </c>
      <c r="D10" s="23"/>
      <c r="E10" s="23"/>
      <c r="F10" s="23"/>
      <c r="G10" s="23"/>
      <c r="H10" s="23">
        <v>400</v>
      </c>
      <c r="I10" s="27"/>
      <c r="J10" s="24">
        <f t="shared" si="1"/>
        <v>42432.18</v>
      </c>
      <c r="K10" s="24">
        <f t="shared" si="0"/>
        <v>6660.5900000000011</v>
      </c>
    </row>
    <row r="11" spans="2:11" x14ac:dyDescent="0.25">
      <c r="B11" s="31">
        <v>42677</v>
      </c>
      <c r="C11" s="21" t="s">
        <v>1011</v>
      </c>
      <c r="D11" s="23"/>
      <c r="E11" s="23"/>
      <c r="F11" s="23"/>
      <c r="G11" s="23"/>
      <c r="H11" s="23">
        <v>310</v>
      </c>
      <c r="I11" s="27"/>
      <c r="J11" s="24">
        <f t="shared" si="1"/>
        <v>42432.18</v>
      </c>
      <c r="K11" s="24">
        <f t="shared" si="0"/>
        <v>6350.5900000000011</v>
      </c>
    </row>
    <row r="12" spans="2:11" x14ac:dyDescent="0.25">
      <c r="B12" s="31">
        <v>42678</v>
      </c>
      <c r="C12" s="21" t="s">
        <v>1141</v>
      </c>
      <c r="D12" s="23"/>
      <c r="E12" s="23"/>
      <c r="F12" s="23"/>
      <c r="G12" s="23"/>
      <c r="H12" s="23">
        <v>1000</v>
      </c>
      <c r="I12" s="27"/>
      <c r="J12" s="24">
        <f t="shared" si="1"/>
        <v>42432.18</v>
      </c>
      <c r="K12" s="24">
        <f t="shared" si="0"/>
        <v>5350.5900000000011</v>
      </c>
    </row>
    <row r="13" spans="2:11" x14ac:dyDescent="0.25">
      <c r="B13" s="31">
        <v>42678</v>
      </c>
      <c r="C13" s="21" t="s">
        <v>1142</v>
      </c>
      <c r="D13" s="23"/>
      <c r="E13" s="23"/>
      <c r="F13" s="23"/>
      <c r="G13" s="23"/>
      <c r="H13" s="92">
        <v>350</v>
      </c>
      <c r="I13" s="27"/>
      <c r="J13" s="24">
        <f t="shared" si="1"/>
        <v>42432.18</v>
      </c>
      <c r="K13" s="24">
        <f t="shared" si="0"/>
        <v>5000.5900000000011</v>
      </c>
    </row>
    <row r="14" spans="2:11" x14ac:dyDescent="0.25">
      <c r="B14" s="31">
        <v>42678</v>
      </c>
      <c r="C14" s="21" t="s">
        <v>1143</v>
      </c>
      <c r="D14" s="23"/>
      <c r="E14" s="23"/>
      <c r="F14" s="23"/>
      <c r="G14" s="23"/>
      <c r="H14" s="23">
        <v>320</v>
      </c>
      <c r="I14" s="27"/>
      <c r="J14" s="24">
        <f t="shared" si="1"/>
        <v>42432.18</v>
      </c>
      <c r="K14" s="24">
        <f t="shared" si="0"/>
        <v>4680.5900000000011</v>
      </c>
    </row>
    <row r="15" spans="2:11" x14ac:dyDescent="0.25">
      <c r="B15" s="31">
        <v>42678</v>
      </c>
      <c r="C15" s="21" t="s">
        <v>1145</v>
      </c>
      <c r="D15" s="23"/>
      <c r="E15" s="23"/>
      <c r="F15" s="23"/>
      <c r="G15" s="23"/>
      <c r="H15" s="92">
        <v>370</v>
      </c>
      <c r="I15" s="27"/>
      <c r="J15" s="24">
        <f t="shared" si="1"/>
        <v>42432.18</v>
      </c>
      <c r="K15" s="24">
        <f t="shared" si="0"/>
        <v>4310.5900000000011</v>
      </c>
    </row>
    <row r="16" spans="2:11" x14ac:dyDescent="0.25">
      <c r="B16" s="31">
        <v>42678</v>
      </c>
      <c r="C16" s="21" t="s">
        <v>1146</v>
      </c>
      <c r="D16" s="23"/>
      <c r="E16" s="23"/>
      <c r="F16" s="23"/>
      <c r="G16" s="23"/>
      <c r="H16" s="23">
        <v>50</v>
      </c>
      <c r="I16" s="27"/>
      <c r="J16" s="24">
        <f t="shared" si="1"/>
        <v>42432.18</v>
      </c>
      <c r="K16" s="24">
        <f t="shared" si="0"/>
        <v>4260.5900000000011</v>
      </c>
    </row>
    <row r="17" spans="2:11" x14ac:dyDescent="0.25">
      <c r="B17" s="31">
        <v>42678</v>
      </c>
      <c r="C17" s="21" t="s">
        <v>1147</v>
      </c>
      <c r="D17" s="23"/>
      <c r="E17" s="23"/>
      <c r="F17" s="23"/>
      <c r="G17" s="23"/>
      <c r="H17" s="23">
        <v>350</v>
      </c>
      <c r="I17" s="27"/>
      <c r="J17" s="24">
        <f t="shared" si="1"/>
        <v>42432.18</v>
      </c>
      <c r="K17" s="24">
        <f t="shared" si="0"/>
        <v>3910.5900000000011</v>
      </c>
    </row>
    <row r="18" spans="2:11" x14ac:dyDescent="0.25">
      <c r="B18" s="31">
        <v>42678</v>
      </c>
      <c r="C18" s="21" t="s">
        <v>1148</v>
      </c>
      <c r="D18" s="23"/>
      <c r="E18" s="23"/>
      <c r="F18" s="23"/>
      <c r="G18" s="23"/>
      <c r="H18" s="23">
        <v>100</v>
      </c>
      <c r="I18" s="27"/>
      <c r="J18" s="24">
        <f t="shared" si="1"/>
        <v>42432.18</v>
      </c>
      <c r="K18" s="24">
        <f t="shared" si="0"/>
        <v>3810.5900000000011</v>
      </c>
    </row>
    <row r="19" spans="2:11" x14ac:dyDescent="0.25">
      <c r="B19" s="31">
        <v>42678</v>
      </c>
      <c r="C19" s="21" t="s">
        <v>1136</v>
      </c>
      <c r="D19" s="23"/>
      <c r="E19" s="23"/>
      <c r="F19" s="23"/>
      <c r="G19" s="23">
        <v>3000</v>
      </c>
      <c r="H19" s="23"/>
      <c r="I19" s="27"/>
      <c r="J19" s="24">
        <f t="shared" si="1"/>
        <v>39432.18</v>
      </c>
      <c r="K19" s="24">
        <f t="shared" si="0"/>
        <v>3810.5900000000011</v>
      </c>
    </row>
    <row r="20" spans="2:11" x14ac:dyDescent="0.25">
      <c r="B20" s="31">
        <v>42679</v>
      </c>
      <c r="C20" s="21" t="s">
        <v>1149</v>
      </c>
      <c r="D20" s="23"/>
      <c r="E20" s="23"/>
      <c r="F20" s="23"/>
      <c r="G20" s="23"/>
      <c r="H20" s="23">
        <v>500</v>
      </c>
      <c r="I20" s="27"/>
      <c r="J20" s="24">
        <f t="shared" si="1"/>
        <v>39432.18</v>
      </c>
      <c r="K20" s="24">
        <f t="shared" si="0"/>
        <v>3310.5900000000011</v>
      </c>
    </row>
    <row r="21" spans="2:11" x14ac:dyDescent="0.25">
      <c r="B21" s="31">
        <v>42680</v>
      </c>
      <c r="C21" s="21" t="s">
        <v>1150</v>
      </c>
      <c r="D21" s="23"/>
      <c r="E21" s="23"/>
      <c r="F21" s="23"/>
      <c r="G21" s="23"/>
      <c r="H21" s="23">
        <v>120</v>
      </c>
      <c r="I21" s="27"/>
      <c r="J21" s="24">
        <f t="shared" si="1"/>
        <v>39432.18</v>
      </c>
      <c r="K21" s="24">
        <f t="shared" si="0"/>
        <v>3190.5900000000011</v>
      </c>
    </row>
    <row r="22" spans="2:11" x14ac:dyDescent="0.25">
      <c r="B22" s="31">
        <v>42680</v>
      </c>
      <c r="C22" s="21" t="s">
        <v>993</v>
      </c>
      <c r="D22" s="23"/>
      <c r="E22" s="23"/>
      <c r="F22" s="23"/>
      <c r="G22" s="23"/>
      <c r="H22" s="23">
        <v>154.88999999999999</v>
      </c>
      <c r="I22" s="27"/>
      <c r="J22" s="24">
        <f t="shared" si="1"/>
        <v>39432.18</v>
      </c>
      <c r="K22" s="24">
        <f t="shared" si="0"/>
        <v>3035.7000000000012</v>
      </c>
    </row>
    <row r="23" spans="2:11" x14ac:dyDescent="0.25">
      <c r="B23" s="31">
        <v>42681</v>
      </c>
      <c r="C23" s="21" t="s">
        <v>1151</v>
      </c>
      <c r="D23" s="23"/>
      <c r="E23" s="23"/>
      <c r="F23" s="23"/>
      <c r="G23" s="23"/>
      <c r="H23" s="92">
        <v>400</v>
      </c>
      <c r="I23" s="27"/>
      <c r="J23" s="24">
        <f t="shared" si="1"/>
        <v>39432.18</v>
      </c>
      <c r="K23" s="24">
        <f t="shared" si="0"/>
        <v>2635.7000000000012</v>
      </c>
    </row>
    <row r="24" spans="2:11" x14ac:dyDescent="0.25">
      <c r="B24" s="31">
        <v>42681</v>
      </c>
      <c r="C24" s="21" t="s">
        <v>1152</v>
      </c>
      <c r="D24" s="23">
        <v>28225</v>
      </c>
      <c r="E24" s="23"/>
      <c r="F24" s="23"/>
      <c r="G24" s="23"/>
      <c r="H24" s="92">
        <v>310</v>
      </c>
      <c r="I24" s="27"/>
      <c r="J24" s="24">
        <f t="shared" si="1"/>
        <v>39432.18</v>
      </c>
      <c r="K24" s="24">
        <f t="shared" si="0"/>
        <v>30550.7</v>
      </c>
    </row>
    <row r="25" spans="2:11" x14ac:dyDescent="0.25">
      <c r="B25" s="31">
        <v>42681</v>
      </c>
      <c r="C25" s="21" t="s">
        <v>1153</v>
      </c>
      <c r="D25" s="23"/>
      <c r="E25" s="23"/>
      <c r="F25" s="23"/>
      <c r="G25" s="23"/>
      <c r="H25" s="23">
        <v>279.60000000000002</v>
      </c>
      <c r="I25" s="27"/>
      <c r="J25" s="24">
        <f t="shared" si="1"/>
        <v>39432.18</v>
      </c>
      <c r="K25" s="24">
        <f t="shared" si="0"/>
        <v>30271.100000000002</v>
      </c>
    </row>
    <row r="26" spans="2:11" x14ac:dyDescent="0.25">
      <c r="B26" s="31">
        <v>42682</v>
      </c>
      <c r="C26" s="21" t="s">
        <v>1154</v>
      </c>
      <c r="D26" s="23"/>
      <c r="E26" s="23"/>
      <c r="F26" s="23"/>
      <c r="G26" s="23"/>
      <c r="H26" s="23">
        <v>350</v>
      </c>
      <c r="I26" s="27"/>
      <c r="J26" s="24">
        <f t="shared" si="1"/>
        <v>39432.18</v>
      </c>
      <c r="K26" s="24">
        <f t="shared" si="0"/>
        <v>29921.100000000002</v>
      </c>
    </row>
    <row r="27" spans="2:11" x14ac:dyDescent="0.25">
      <c r="B27" s="31">
        <v>42682</v>
      </c>
      <c r="C27" s="21" t="s">
        <v>1155</v>
      </c>
      <c r="D27" s="23"/>
      <c r="E27" s="23"/>
      <c r="F27" s="23"/>
      <c r="G27" s="23"/>
      <c r="H27" s="23">
        <v>786</v>
      </c>
      <c r="I27" s="27"/>
      <c r="J27" s="24">
        <f t="shared" si="1"/>
        <v>39432.18</v>
      </c>
      <c r="K27" s="24">
        <f t="shared" si="0"/>
        <v>29135.100000000002</v>
      </c>
    </row>
    <row r="28" spans="2:11" x14ac:dyDescent="0.25">
      <c r="B28" s="31">
        <v>42683</v>
      </c>
      <c r="C28" s="21" t="s">
        <v>1156</v>
      </c>
      <c r="D28" s="23"/>
      <c r="E28" s="23"/>
      <c r="F28" s="23"/>
      <c r="G28" s="23"/>
      <c r="H28" s="23">
        <v>400</v>
      </c>
      <c r="I28" s="27"/>
      <c r="J28" s="24">
        <f t="shared" si="1"/>
        <v>39432.18</v>
      </c>
      <c r="K28" s="24">
        <f t="shared" si="0"/>
        <v>28735.100000000002</v>
      </c>
    </row>
    <row r="29" spans="2:11" x14ac:dyDescent="0.25">
      <c r="B29" s="31">
        <v>42683</v>
      </c>
      <c r="C29" s="21" t="s">
        <v>1157</v>
      </c>
      <c r="D29" s="23"/>
      <c r="E29" s="23"/>
      <c r="F29" s="23"/>
      <c r="G29" s="23"/>
      <c r="H29" s="23">
        <v>15</v>
      </c>
      <c r="I29" s="27"/>
      <c r="J29" s="24">
        <f t="shared" si="1"/>
        <v>39432.18</v>
      </c>
      <c r="K29" s="24">
        <f t="shared" si="0"/>
        <v>28720.100000000002</v>
      </c>
    </row>
    <row r="30" spans="2:11" x14ac:dyDescent="0.25">
      <c r="B30" s="31">
        <v>42683</v>
      </c>
      <c r="C30" s="21" t="s">
        <v>1158</v>
      </c>
      <c r="D30" s="23"/>
      <c r="E30" s="23"/>
      <c r="F30" s="23"/>
      <c r="G30" s="23"/>
      <c r="H30" s="23">
        <v>1312.9</v>
      </c>
      <c r="I30" s="27"/>
      <c r="J30" s="24">
        <f t="shared" si="1"/>
        <v>39432.18</v>
      </c>
      <c r="K30" s="24">
        <f t="shared" si="0"/>
        <v>27407.200000000001</v>
      </c>
    </row>
    <row r="31" spans="2:11" x14ac:dyDescent="0.25">
      <c r="B31" s="31">
        <v>42684</v>
      </c>
      <c r="C31" s="21" t="s">
        <v>1159</v>
      </c>
      <c r="D31" s="23"/>
      <c r="E31" s="23"/>
      <c r="F31" s="23"/>
      <c r="G31" s="23"/>
      <c r="H31" s="23">
        <v>500</v>
      </c>
      <c r="I31" s="27"/>
      <c r="J31" s="24">
        <f t="shared" si="1"/>
        <v>39432.18</v>
      </c>
      <c r="K31" s="24">
        <f t="shared" si="0"/>
        <v>26907.200000000001</v>
      </c>
    </row>
    <row r="32" spans="2:11" x14ac:dyDescent="0.25">
      <c r="B32" s="31">
        <v>42684</v>
      </c>
      <c r="C32" s="21" t="s">
        <v>1160</v>
      </c>
      <c r="D32" s="23"/>
      <c r="E32" s="23"/>
      <c r="F32" s="23"/>
      <c r="G32" s="23"/>
      <c r="H32" s="92">
        <v>200</v>
      </c>
      <c r="I32" s="27"/>
      <c r="J32" s="24">
        <f t="shared" si="1"/>
        <v>39432.18</v>
      </c>
      <c r="K32" s="24">
        <f t="shared" si="0"/>
        <v>26707.200000000001</v>
      </c>
    </row>
    <row r="33" spans="2:11" x14ac:dyDescent="0.25">
      <c r="B33" s="31">
        <v>42684</v>
      </c>
      <c r="C33" s="21" t="s">
        <v>1161</v>
      </c>
      <c r="D33" s="23"/>
      <c r="E33" s="23"/>
      <c r="F33" s="23"/>
      <c r="G33" s="23"/>
      <c r="H33" s="23">
        <v>800</v>
      </c>
      <c r="I33" s="27"/>
      <c r="J33" s="24">
        <f t="shared" si="1"/>
        <v>39432.18</v>
      </c>
      <c r="K33" s="24">
        <f t="shared" si="0"/>
        <v>25907.200000000001</v>
      </c>
    </row>
    <row r="34" spans="2:11" x14ac:dyDescent="0.25">
      <c r="B34" s="31">
        <v>42684</v>
      </c>
      <c r="C34" s="21" t="s">
        <v>1162</v>
      </c>
      <c r="D34" s="23"/>
      <c r="E34" s="23"/>
      <c r="F34" s="23"/>
      <c r="G34" s="23"/>
      <c r="H34" s="23">
        <v>250</v>
      </c>
      <c r="I34" s="27"/>
      <c r="J34" s="24">
        <f t="shared" si="1"/>
        <v>39432.18</v>
      </c>
      <c r="K34" s="24">
        <f t="shared" si="0"/>
        <v>25657.200000000001</v>
      </c>
    </row>
    <row r="35" spans="2:11" x14ac:dyDescent="0.25">
      <c r="B35" s="31">
        <v>42684</v>
      </c>
      <c r="C35" s="21" t="s">
        <v>1163</v>
      </c>
      <c r="D35" s="23"/>
      <c r="E35" s="23"/>
      <c r="F35" s="23"/>
      <c r="G35" s="23"/>
      <c r="H35" s="23">
        <v>1470</v>
      </c>
      <c r="I35" s="27"/>
      <c r="J35" s="24">
        <f t="shared" si="1"/>
        <v>39432.18</v>
      </c>
      <c r="K35" s="24">
        <f t="shared" si="0"/>
        <v>24187.200000000001</v>
      </c>
    </row>
    <row r="36" spans="2:11" x14ac:dyDescent="0.25">
      <c r="B36" s="31">
        <v>42684</v>
      </c>
      <c r="C36" s="21" t="s">
        <v>1164</v>
      </c>
      <c r="D36" s="23"/>
      <c r="E36" s="23"/>
      <c r="F36" s="23"/>
      <c r="G36" s="23"/>
      <c r="H36" s="23">
        <v>600</v>
      </c>
      <c r="I36" s="27"/>
      <c r="J36" s="24">
        <f t="shared" si="1"/>
        <v>39432.18</v>
      </c>
      <c r="K36" s="24">
        <f t="shared" si="0"/>
        <v>23587.200000000001</v>
      </c>
    </row>
    <row r="37" spans="2:11" x14ac:dyDescent="0.25">
      <c r="B37" s="31">
        <v>42684</v>
      </c>
      <c r="C37" s="21" t="s">
        <v>1165</v>
      </c>
      <c r="D37" s="23"/>
      <c r="E37" s="23"/>
      <c r="F37" s="23"/>
      <c r="G37" s="23"/>
      <c r="H37" s="23">
        <v>30</v>
      </c>
      <c r="I37" s="27"/>
      <c r="J37" s="24">
        <f t="shared" si="1"/>
        <v>39432.18</v>
      </c>
      <c r="K37" s="24">
        <f t="shared" si="0"/>
        <v>23557.200000000001</v>
      </c>
    </row>
    <row r="38" spans="2:11" x14ac:dyDescent="0.25">
      <c r="B38" s="31">
        <v>42685</v>
      </c>
      <c r="C38" s="21" t="s">
        <v>1175</v>
      </c>
      <c r="D38" s="23"/>
      <c r="E38" s="23"/>
      <c r="F38" s="23"/>
      <c r="G38" s="23"/>
      <c r="H38" s="23">
        <v>47</v>
      </c>
      <c r="I38" s="27"/>
      <c r="J38" s="24">
        <f t="shared" ref="J38:J40" si="2">+J37+E38-G38</f>
        <v>39432.18</v>
      </c>
      <c r="K38" s="24">
        <f t="shared" ref="K38:K40" si="3">+K37+D38-H38</f>
        <v>23510.2</v>
      </c>
    </row>
    <row r="39" spans="2:11" x14ac:dyDescent="0.25">
      <c r="B39" s="31">
        <v>42685</v>
      </c>
      <c r="C39" s="21" t="s">
        <v>1166</v>
      </c>
      <c r="D39" s="23"/>
      <c r="E39" s="23"/>
      <c r="F39" s="23"/>
      <c r="G39" s="23"/>
      <c r="H39" s="23">
        <v>1000</v>
      </c>
      <c r="I39" s="27"/>
      <c r="J39" s="24">
        <f t="shared" si="2"/>
        <v>39432.18</v>
      </c>
      <c r="K39" s="24">
        <f t="shared" si="3"/>
        <v>22510.2</v>
      </c>
    </row>
    <row r="40" spans="2:11" x14ac:dyDescent="0.25">
      <c r="B40" s="31">
        <v>42686</v>
      </c>
      <c r="C40" s="21" t="s">
        <v>1167</v>
      </c>
      <c r="D40" s="23"/>
      <c r="E40" s="23"/>
      <c r="F40" s="23"/>
      <c r="G40" s="23"/>
      <c r="H40" s="23">
        <v>500</v>
      </c>
      <c r="I40" s="27"/>
      <c r="J40" s="24">
        <f t="shared" si="2"/>
        <v>39432.18</v>
      </c>
      <c r="K40" s="24">
        <f t="shared" si="3"/>
        <v>22010.2</v>
      </c>
    </row>
    <row r="41" spans="2:11" x14ac:dyDescent="0.25">
      <c r="B41" s="31">
        <v>42686</v>
      </c>
      <c r="C41" s="21" t="s">
        <v>1176</v>
      </c>
      <c r="D41" s="23"/>
      <c r="E41" s="23"/>
      <c r="F41" s="23"/>
      <c r="G41" s="23"/>
      <c r="H41" s="23">
        <v>200</v>
      </c>
      <c r="I41" s="27"/>
      <c r="J41" s="24">
        <f t="shared" ref="J41" si="4">+J40+E41-G41</f>
        <v>39432.18</v>
      </c>
      <c r="K41" s="24">
        <f t="shared" ref="K41" si="5">+K40+D41-H41</f>
        <v>21810.2</v>
      </c>
    </row>
    <row r="42" spans="2:11" x14ac:dyDescent="0.25">
      <c r="B42" s="31">
        <v>42686</v>
      </c>
      <c r="C42" s="21" t="s">
        <v>1177</v>
      </c>
      <c r="D42" s="23"/>
      <c r="E42" s="23"/>
      <c r="F42" s="23"/>
      <c r="G42" s="23"/>
      <c r="H42" s="23">
        <v>450</v>
      </c>
      <c r="I42" s="27"/>
      <c r="J42" s="24">
        <f t="shared" ref="J42:J54" si="6">+J41+E42-G42</f>
        <v>39432.18</v>
      </c>
      <c r="K42" s="24">
        <f t="shared" ref="K42:K54" si="7">+K41+D42-H42</f>
        <v>21360.2</v>
      </c>
    </row>
    <row r="43" spans="2:11" x14ac:dyDescent="0.25">
      <c r="B43" s="31">
        <v>42686</v>
      </c>
      <c r="C43" s="21" t="s">
        <v>1177</v>
      </c>
      <c r="D43" s="23"/>
      <c r="E43" s="23"/>
      <c r="F43" s="23"/>
      <c r="G43" s="23"/>
      <c r="H43" s="23">
        <v>430</v>
      </c>
      <c r="I43" s="27"/>
      <c r="J43" s="24">
        <f t="shared" si="6"/>
        <v>39432.18</v>
      </c>
      <c r="K43" s="24">
        <f t="shared" si="7"/>
        <v>20930.2</v>
      </c>
    </row>
    <row r="44" spans="2:11" x14ac:dyDescent="0.25">
      <c r="B44" s="31">
        <v>42686</v>
      </c>
      <c r="C44" s="21" t="s">
        <v>1178</v>
      </c>
      <c r="D44" s="23"/>
      <c r="E44" s="23"/>
      <c r="F44" s="23"/>
      <c r="G44" s="23"/>
      <c r="H44" s="23">
        <v>145</v>
      </c>
      <c r="I44" s="27"/>
      <c r="J44" s="24">
        <f t="shared" si="6"/>
        <v>39432.18</v>
      </c>
      <c r="K44" s="24">
        <f t="shared" si="7"/>
        <v>20785.2</v>
      </c>
    </row>
    <row r="45" spans="2:11" x14ac:dyDescent="0.25">
      <c r="B45" s="31">
        <v>42687</v>
      </c>
      <c r="C45" s="21" t="s">
        <v>1150</v>
      </c>
      <c r="D45" s="23"/>
      <c r="E45" s="23"/>
      <c r="F45" s="23"/>
      <c r="G45" s="23"/>
      <c r="H45" s="23">
        <v>120</v>
      </c>
      <c r="I45" s="27"/>
      <c r="J45" s="24">
        <f t="shared" si="6"/>
        <v>39432.18</v>
      </c>
      <c r="K45" s="24">
        <f t="shared" si="7"/>
        <v>20665.2</v>
      </c>
    </row>
    <row r="46" spans="2:11" x14ac:dyDescent="0.25">
      <c r="B46" s="31">
        <v>42687</v>
      </c>
      <c r="C46" s="21" t="s">
        <v>1168</v>
      </c>
      <c r="D46" s="23"/>
      <c r="E46" s="23"/>
      <c r="F46" s="23"/>
      <c r="G46" s="23"/>
      <c r="H46" s="23">
        <v>130</v>
      </c>
      <c r="I46" s="27"/>
      <c r="J46" s="24">
        <f t="shared" si="6"/>
        <v>39432.18</v>
      </c>
      <c r="K46" s="24">
        <f t="shared" si="7"/>
        <v>20535.2</v>
      </c>
    </row>
    <row r="47" spans="2:11" x14ac:dyDescent="0.25">
      <c r="B47" s="31">
        <v>42688</v>
      </c>
      <c r="C47" s="21" t="s">
        <v>1179</v>
      </c>
      <c r="D47" s="23">
        <v>28040</v>
      </c>
      <c r="E47" s="23"/>
      <c r="F47" s="23"/>
      <c r="G47" s="23"/>
      <c r="H47" s="92"/>
      <c r="I47" s="27"/>
      <c r="J47" s="24">
        <f t="shared" si="6"/>
        <v>39432.18</v>
      </c>
      <c r="K47" s="24">
        <f t="shared" si="7"/>
        <v>48575.199999999997</v>
      </c>
    </row>
    <row r="48" spans="2:11" x14ac:dyDescent="0.25">
      <c r="B48" s="31">
        <v>42688</v>
      </c>
      <c r="C48" s="21" t="s">
        <v>1011</v>
      </c>
      <c r="D48" s="23"/>
      <c r="E48" s="23"/>
      <c r="F48" s="23"/>
      <c r="G48" s="23"/>
      <c r="H48" s="92">
        <v>310</v>
      </c>
      <c r="I48" s="27"/>
      <c r="J48" s="24">
        <f t="shared" si="6"/>
        <v>39432.18</v>
      </c>
      <c r="K48" s="24">
        <f t="shared" si="7"/>
        <v>48265.2</v>
      </c>
    </row>
    <row r="49" spans="2:11" x14ac:dyDescent="0.25">
      <c r="B49" s="31">
        <v>42688</v>
      </c>
      <c r="C49" s="60" t="s">
        <v>1180</v>
      </c>
      <c r="D49" s="23"/>
      <c r="E49" s="23"/>
      <c r="F49" s="23"/>
      <c r="G49" s="23"/>
      <c r="H49" s="92">
        <v>450</v>
      </c>
      <c r="I49" s="27"/>
      <c r="J49" s="24">
        <f t="shared" si="6"/>
        <v>39432.18</v>
      </c>
      <c r="K49" s="24">
        <f t="shared" si="7"/>
        <v>47815.199999999997</v>
      </c>
    </row>
    <row r="50" spans="2:11" x14ac:dyDescent="0.25">
      <c r="B50" s="31">
        <v>42688</v>
      </c>
      <c r="C50" s="21" t="s">
        <v>1181</v>
      </c>
      <c r="D50" s="23"/>
      <c r="E50" s="23"/>
      <c r="F50" s="23"/>
      <c r="G50" s="23"/>
      <c r="H50" s="92">
        <v>290</v>
      </c>
      <c r="I50" s="27"/>
      <c r="J50" s="24">
        <f t="shared" si="6"/>
        <v>39432.18</v>
      </c>
      <c r="K50" s="24">
        <f t="shared" si="7"/>
        <v>47525.2</v>
      </c>
    </row>
    <row r="51" spans="2:11" x14ac:dyDescent="0.25">
      <c r="B51" s="31">
        <v>42688</v>
      </c>
      <c r="C51" s="60" t="s">
        <v>1180</v>
      </c>
      <c r="D51" s="23"/>
      <c r="E51" s="23"/>
      <c r="F51" s="23"/>
      <c r="G51" s="23"/>
      <c r="H51" s="92">
        <v>350</v>
      </c>
      <c r="I51" s="27"/>
      <c r="J51" s="24">
        <f t="shared" si="6"/>
        <v>39432.18</v>
      </c>
      <c r="K51" s="24">
        <f t="shared" si="7"/>
        <v>47175.199999999997</v>
      </c>
    </row>
    <row r="52" spans="2:11" x14ac:dyDescent="0.25">
      <c r="B52" s="31">
        <v>42688</v>
      </c>
      <c r="C52" s="62" t="s">
        <v>1183</v>
      </c>
      <c r="D52" s="73"/>
      <c r="E52" s="73"/>
      <c r="F52" s="73"/>
      <c r="G52" s="28"/>
      <c r="H52" s="92">
        <v>200</v>
      </c>
      <c r="I52" s="27"/>
      <c r="J52" s="24">
        <f t="shared" si="6"/>
        <v>39432.18</v>
      </c>
      <c r="K52" s="24">
        <f t="shared" si="7"/>
        <v>46975.199999999997</v>
      </c>
    </row>
    <row r="53" spans="2:11" x14ac:dyDescent="0.25">
      <c r="B53" s="31">
        <v>42688</v>
      </c>
      <c r="C53" s="21" t="s">
        <v>1177</v>
      </c>
      <c r="D53" s="73"/>
      <c r="E53" s="73"/>
      <c r="F53" s="73"/>
      <c r="G53" s="28"/>
      <c r="H53" s="23">
        <v>290</v>
      </c>
      <c r="I53" s="27"/>
      <c r="J53" s="24">
        <f t="shared" si="6"/>
        <v>39432.18</v>
      </c>
      <c r="K53" s="24">
        <f t="shared" si="7"/>
        <v>46685.2</v>
      </c>
    </row>
    <row r="54" spans="2:11" ht="15.75" thickBot="1" x14ac:dyDescent="0.3">
      <c r="B54" s="31">
        <v>42688</v>
      </c>
      <c r="C54" s="25" t="s">
        <v>1182</v>
      </c>
      <c r="D54" s="23"/>
      <c r="E54" s="23"/>
      <c r="F54" s="23"/>
      <c r="G54" s="23"/>
      <c r="H54" s="23">
        <v>200</v>
      </c>
      <c r="I54" s="27"/>
      <c r="J54" s="24">
        <f t="shared" si="6"/>
        <v>39432.18</v>
      </c>
      <c r="K54" s="24">
        <f t="shared" si="7"/>
        <v>46485.2</v>
      </c>
    </row>
    <row r="55" spans="2:11" ht="15.75" thickBot="1" x14ac:dyDescent="0.3">
      <c r="B55" s="13"/>
      <c r="C55" s="16" t="s">
        <v>0</v>
      </c>
      <c r="D55" s="105">
        <f>SUM(D4:D54)</f>
        <v>56265</v>
      </c>
      <c r="E55" s="103">
        <f>SUM(E4:E52)</f>
        <v>0</v>
      </c>
      <c r="F55" s="114">
        <f>SUM(D55:E55)</f>
        <v>56265</v>
      </c>
      <c r="G55" s="126">
        <f>SUM(G4:G52)</f>
        <v>13000</v>
      </c>
      <c r="H55" s="105">
        <f>SUM(H4:H54)</f>
        <v>18320.09</v>
      </c>
      <c r="I55" s="114">
        <f>SUM(G55:H55)</f>
        <v>31320.09</v>
      </c>
      <c r="J55" s="33"/>
      <c r="K55" s="33"/>
    </row>
    <row r="56" spans="2:11" x14ac:dyDescent="0.25">
      <c r="B56" s="111" t="s">
        <v>1</v>
      </c>
      <c r="C56" s="111" t="s">
        <v>2</v>
      </c>
      <c r="D56" s="111" t="s">
        <v>3</v>
      </c>
      <c r="E56" s="111" t="s">
        <v>3</v>
      </c>
      <c r="F56" s="111" t="s">
        <v>323</v>
      </c>
      <c r="G56" s="111" t="s">
        <v>324</v>
      </c>
      <c r="H56" s="81" t="s">
        <v>324</v>
      </c>
      <c r="I56" s="81" t="s">
        <v>323</v>
      </c>
      <c r="J56" s="111" t="s">
        <v>174</v>
      </c>
      <c r="K56" s="81" t="s">
        <v>173</v>
      </c>
    </row>
    <row r="57" spans="2:11" ht="15.75" thickBot="1" x14ac:dyDescent="0.3">
      <c r="B57" s="112"/>
      <c r="C57" s="112"/>
      <c r="D57" s="112" t="s">
        <v>6</v>
      </c>
      <c r="E57" s="112" t="s">
        <v>325</v>
      </c>
      <c r="F57" s="112" t="s">
        <v>3</v>
      </c>
      <c r="G57" s="112" t="s">
        <v>325</v>
      </c>
      <c r="H57" s="113" t="s">
        <v>6</v>
      </c>
      <c r="I57" s="113" t="s">
        <v>5</v>
      </c>
      <c r="J57" s="112"/>
      <c r="K57" s="113"/>
    </row>
    <row r="58" spans="2:11" ht="15.75" thickBot="1" x14ac:dyDescent="0.3">
      <c r="B58" s="13"/>
      <c r="C58" s="16"/>
      <c r="D58" s="105">
        <v>56265</v>
      </c>
      <c r="E58" s="103">
        <v>0</v>
      </c>
      <c r="F58" s="114">
        <f>SUM(D58:E58)</f>
        <v>56265</v>
      </c>
      <c r="G58" s="126">
        <v>13000</v>
      </c>
      <c r="H58" s="105">
        <v>18320.09</v>
      </c>
      <c r="I58" s="114">
        <f>SUM(G58:H58)</f>
        <v>31320.09</v>
      </c>
      <c r="J58" s="33">
        <v>39432.18</v>
      </c>
      <c r="K58" s="24">
        <v>46485.2</v>
      </c>
    </row>
    <row r="59" spans="2:11" x14ac:dyDescent="0.25">
      <c r="B59" s="31">
        <v>42689</v>
      </c>
      <c r="C59" s="21" t="s">
        <v>1169</v>
      </c>
      <c r="D59" s="23"/>
      <c r="E59" s="23"/>
      <c r="F59" s="23"/>
      <c r="G59" s="23"/>
      <c r="H59" s="92">
        <v>450</v>
      </c>
      <c r="I59" s="27"/>
      <c r="J59" s="24">
        <f>+J58+E59-G59</f>
        <v>39432.18</v>
      </c>
      <c r="K59" s="24">
        <f t="shared" ref="K59:K82" si="8">+K58+D59-H59</f>
        <v>46035.199999999997</v>
      </c>
    </row>
    <row r="60" spans="2:11" x14ac:dyDescent="0.25">
      <c r="B60" s="31">
        <v>42689</v>
      </c>
      <c r="C60" s="21" t="s">
        <v>1170</v>
      </c>
      <c r="D60" s="23"/>
      <c r="E60" s="23"/>
      <c r="F60" s="23"/>
      <c r="G60" s="23"/>
      <c r="H60" s="92">
        <v>350</v>
      </c>
      <c r="I60" s="27"/>
      <c r="J60" s="24">
        <f t="shared" ref="J60:J82" si="9">+J59+E60-G60</f>
        <v>39432.18</v>
      </c>
      <c r="K60" s="24">
        <f t="shared" si="8"/>
        <v>45685.2</v>
      </c>
    </row>
    <row r="61" spans="2:11" x14ac:dyDescent="0.25">
      <c r="B61" s="31">
        <v>42689</v>
      </c>
      <c r="C61" s="60" t="s">
        <v>1171</v>
      </c>
      <c r="D61" s="23"/>
      <c r="E61" s="23"/>
      <c r="F61" s="23"/>
      <c r="G61" s="23">
        <v>1224</v>
      </c>
      <c r="H61" s="92"/>
      <c r="I61" s="27"/>
      <c r="J61" s="24">
        <f t="shared" si="9"/>
        <v>38208.18</v>
      </c>
      <c r="K61" s="24">
        <f t="shared" si="8"/>
        <v>45685.2</v>
      </c>
    </row>
    <row r="62" spans="2:11" x14ac:dyDescent="0.25">
      <c r="B62" s="31">
        <v>42689</v>
      </c>
      <c r="C62" s="62" t="s">
        <v>1172</v>
      </c>
      <c r="D62" s="73"/>
      <c r="E62" s="73"/>
      <c r="F62" s="73"/>
      <c r="G62" s="28">
        <v>1760</v>
      </c>
      <c r="H62" s="92"/>
      <c r="I62" s="27"/>
      <c r="J62" s="24">
        <f t="shared" si="9"/>
        <v>36448.18</v>
      </c>
      <c r="K62" s="24">
        <f t="shared" si="8"/>
        <v>45685.2</v>
      </c>
    </row>
    <row r="63" spans="2:11" x14ac:dyDescent="0.25">
      <c r="B63" s="31">
        <v>42689</v>
      </c>
      <c r="C63" s="21" t="s">
        <v>1188</v>
      </c>
      <c r="D63" s="73"/>
      <c r="E63" s="73"/>
      <c r="F63" s="73"/>
      <c r="G63" s="28"/>
      <c r="H63" s="23">
        <v>14500</v>
      </c>
      <c r="I63" s="27"/>
      <c r="J63" s="24">
        <f t="shared" si="9"/>
        <v>36448.18</v>
      </c>
      <c r="K63" s="24">
        <f t="shared" si="8"/>
        <v>31185.199999999997</v>
      </c>
    </row>
    <row r="64" spans="2:11" x14ac:dyDescent="0.25">
      <c r="B64" s="31">
        <v>42689</v>
      </c>
      <c r="C64" s="21" t="s">
        <v>1173</v>
      </c>
      <c r="D64" s="73"/>
      <c r="E64" s="73"/>
      <c r="F64" s="73"/>
      <c r="G64" s="73"/>
      <c r="H64" s="23">
        <v>4000</v>
      </c>
      <c r="I64" s="27"/>
      <c r="J64" s="24">
        <f t="shared" si="9"/>
        <v>36448.18</v>
      </c>
      <c r="K64" s="24">
        <f t="shared" si="8"/>
        <v>27185.199999999997</v>
      </c>
    </row>
    <row r="65" spans="2:11" x14ac:dyDescent="0.25">
      <c r="B65" s="31">
        <v>42689</v>
      </c>
      <c r="C65" s="25" t="s">
        <v>1184</v>
      </c>
      <c r="D65" s="23"/>
      <c r="E65" s="23"/>
      <c r="F65" s="23"/>
      <c r="G65" s="23"/>
      <c r="H65" s="23">
        <v>300</v>
      </c>
      <c r="I65" s="27"/>
      <c r="J65" s="24">
        <f t="shared" si="9"/>
        <v>36448.18</v>
      </c>
      <c r="K65" s="24">
        <f t="shared" si="8"/>
        <v>26885.199999999997</v>
      </c>
    </row>
    <row r="66" spans="2:11" x14ac:dyDescent="0.25">
      <c r="B66" s="31">
        <v>42689</v>
      </c>
      <c r="C66" s="25" t="s">
        <v>1185</v>
      </c>
      <c r="D66" s="23"/>
      <c r="E66" s="23"/>
      <c r="F66" s="23"/>
      <c r="G66" s="23"/>
      <c r="H66" s="23">
        <v>100</v>
      </c>
      <c r="I66" s="27"/>
      <c r="J66" s="24">
        <f t="shared" si="9"/>
        <v>36448.18</v>
      </c>
      <c r="K66" s="24">
        <f t="shared" si="8"/>
        <v>26785.199999999997</v>
      </c>
    </row>
    <row r="67" spans="2:11" x14ac:dyDescent="0.25">
      <c r="B67" s="31">
        <v>42690</v>
      </c>
      <c r="C67" s="25" t="s">
        <v>1186</v>
      </c>
      <c r="D67" s="23"/>
      <c r="E67" s="23"/>
      <c r="F67" s="23"/>
      <c r="G67" s="23"/>
      <c r="H67" s="23">
        <v>150</v>
      </c>
      <c r="I67" s="27"/>
      <c r="J67" s="24">
        <f t="shared" si="9"/>
        <v>36448.18</v>
      </c>
      <c r="K67" s="24">
        <f t="shared" si="8"/>
        <v>26635.199999999997</v>
      </c>
    </row>
    <row r="68" spans="2:11" x14ac:dyDescent="0.25">
      <c r="B68" s="31">
        <v>42690</v>
      </c>
      <c r="C68" s="25" t="s">
        <v>1187</v>
      </c>
      <c r="D68" s="23"/>
      <c r="E68" s="23"/>
      <c r="F68" s="23"/>
      <c r="G68" s="23"/>
      <c r="H68" s="23">
        <v>14500</v>
      </c>
      <c r="I68" s="27"/>
      <c r="J68" s="24">
        <f t="shared" si="9"/>
        <v>36448.18</v>
      </c>
      <c r="K68" s="24">
        <f t="shared" si="8"/>
        <v>12135.199999999997</v>
      </c>
    </row>
    <row r="69" spans="2:11" x14ac:dyDescent="0.25">
      <c r="B69" s="31">
        <v>42690</v>
      </c>
      <c r="C69" s="25" t="s">
        <v>1189</v>
      </c>
      <c r="D69" s="23"/>
      <c r="E69" s="23"/>
      <c r="F69" s="23"/>
      <c r="G69" s="23"/>
      <c r="H69" s="23">
        <v>250</v>
      </c>
      <c r="I69" s="27"/>
      <c r="J69" s="24">
        <f t="shared" si="9"/>
        <v>36448.18</v>
      </c>
      <c r="K69" s="24">
        <f t="shared" si="8"/>
        <v>11885.199999999997</v>
      </c>
    </row>
    <row r="70" spans="2:11" x14ac:dyDescent="0.25">
      <c r="B70" s="31">
        <v>42690</v>
      </c>
      <c r="C70" s="62" t="s">
        <v>1190</v>
      </c>
      <c r="D70" s="23"/>
      <c r="E70" s="23"/>
      <c r="F70" s="23"/>
      <c r="G70" s="23"/>
      <c r="H70" s="23">
        <v>280</v>
      </c>
      <c r="I70" s="27"/>
      <c r="J70" s="24">
        <f t="shared" si="9"/>
        <v>36448.18</v>
      </c>
      <c r="K70" s="24">
        <f t="shared" si="8"/>
        <v>11605.199999999997</v>
      </c>
    </row>
    <row r="71" spans="2:11" x14ac:dyDescent="0.25">
      <c r="B71" s="31">
        <v>42690</v>
      </c>
      <c r="C71" s="60" t="s">
        <v>1191</v>
      </c>
      <c r="D71" s="23"/>
      <c r="E71" s="23"/>
      <c r="F71" s="23"/>
      <c r="G71" s="23"/>
      <c r="H71" s="23">
        <v>230</v>
      </c>
      <c r="I71" s="27"/>
      <c r="J71" s="24">
        <f t="shared" si="9"/>
        <v>36448.18</v>
      </c>
      <c r="K71" s="24">
        <f t="shared" si="8"/>
        <v>11375.199999999997</v>
      </c>
    </row>
    <row r="72" spans="2:11" x14ac:dyDescent="0.25">
      <c r="B72" s="31">
        <v>42691</v>
      </c>
      <c r="C72" s="21" t="s">
        <v>1192</v>
      </c>
      <c r="D72" s="23"/>
      <c r="E72" s="23"/>
      <c r="F72" s="23"/>
      <c r="G72" s="23"/>
      <c r="H72" s="23">
        <v>500</v>
      </c>
      <c r="I72" s="27"/>
      <c r="J72" s="24">
        <f t="shared" si="9"/>
        <v>36448.18</v>
      </c>
      <c r="K72" s="24">
        <f t="shared" si="8"/>
        <v>10875.199999999997</v>
      </c>
    </row>
    <row r="73" spans="2:11" x14ac:dyDescent="0.25">
      <c r="B73" s="31">
        <v>42691</v>
      </c>
      <c r="C73" s="21" t="s">
        <v>1193</v>
      </c>
      <c r="D73" s="23"/>
      <c r="E73" s="23"/>
      <c r="F73" s="23"/>
      <c r="G73" s="23"/>
      <c r="H73" s="23">
        <v>200</v>
      </c>
      <c r="I73" s="27"/>
      <c r="J73" s="24">
        <f t="shared" si="9"/>
        <v>36448.18</v>
      </c>
      <c r="K73" s="24">
        <f t="shared" si="8"/>
        <v>10675.199999999997</v>
      </c>
    </row>
    <row r="74" spans="2:11" x14ac:dyDescent="0.25">
      <c r="B74" s="31">
        <v>42691</v>
      </c>
      <c r="C74" s="21" t="s">
        <v>1194</v>
      </c>
      <c r="D74" s="23"/>
      <c r="E74" s="23"/>
      <c r="F74" s="23"/>
      <c r="G74" s="23"/>
      <c r="H74" s="23">
        <v>2500</v>
      </c>
      <c r="I74" s="27"/>
      <c r="J74" s="24">
        <f t="shared" si="9"/>
        <v>36448.18</v>
      </c>
      <c r="K74" s="24">
        <f t="shared" si="8"/>
        <v>8175.1999999999971</v>
      </c>
    </row>
    <row r="75" spans="2:11" x14ac:dyDescent="0.25">
      <c r="B75" s="31">
        <v>42691</v>
      </c>
      <c r="C75" s="62" t="s">
        <v>1195</v>
      </c>
      <c r="D75" s="23"/>
      <c r="E75" s="23"/>
      <c r="F75" s="23"/>
      <c r="G75" s="23"/>
      <c r="H75" s="23">
        <v>30</v>
      </c>
      <c r="I75" s="27"/>
      <c r="J75" s="24">
        <f t="shared" si="9"/>
        <v>36448.18</v>
      </c>
      <c r="K75" s="24">
        <f t="shared" si="8"/>
        <v>8145.1999999999971</v>
      </c>
    </row>
    <row r="76" spans="2:11" x14ac:dyDescent="0.25">
      <c r="B76" s="31">
        <v>42691</v>
      </c>
      <c r="C76" s="60" t="s">
        <v>1196</v>
      </c>
      <c r="D76" s="23"/>
      <c r="E76" s="23"/>
      <c r="F76" s="23"/>
      <c r="G76" s="23"/>
      <c r="H76" s="23">
        <v>50</v>
      </c>
      <c r="I76" s="27"/>
      <c r="J76" s="24">
        <f t="shared" si="9"/>
        <v>36448.18</v>
      </c>
      <c r="K76" s="24">
        <f t="shared" si="8"/>
        <v>8095.1999999999971</v>
      </c>
    </row>
    <row r="77" spans="2:11" x14ac:dyDescent="0.25">
      <c r="B77" s="31">
        <v>42387</v>
      </c>
      <c r="C77" s="62" t="s">
        <v>1197</v>
      </c>
      <c r="D77" s="23"/>
      <c r="E77" s="23"/>
      <c r="F77" s="23"/>
      <c r="G77" s="23"/>
      <c r="H77" s="23">
        <v>380</v>
      </c>
      <c r="I77" s="27"/>
      <c r="J77" s="24">
        <f t="shared" si="9"/>
        <v>36448.18</v>
      </c>
      <c r="K77" s="24">
        <f t="shared" si="8"/>
        <v>7715.1999999999971</v>
      </c>
    </row>
    <row r="78" spans="2:11" x14ac:dyDescent="0.25">
      <c r="B78" s="31">
        <v>42693</v>
      </c>
      <c r="C78" s="60" t="s">
        <v>1198</v>
      </c>
      <c r="D78" s="23"/>
      <c r="E78" s="23"/>
      <c r="F78" s="23"/>
      <c r="G78" s="23"/>
      <c r="H78" s="23">
        <v>1000</v>
      </c>
      <c r="I78" s="27"/>
      <c r="J78" s="24">
        <f t="shared" si="9"/>
        <v>36448.18</v>
      </c>
      <c r="K78" s="24">
        <f t="shared" si="8"/>
        <v>6715.1999999999971</v>
      </c>
    </row>
    <row r="79" spans="2:11" x14ac:dyDescent="0.25">
      <c r="B79" s="31">
        <v>42693</v>
      </c>
      <c r="C79" s="25" t="s">
        <v>1199</v>
      </c>
      <c r="D79" s="23"/>
      <c r="E79" s="23"/>
      <c r="F79" s="23"/>
      <c r="G79" s="23"/>
      <c r="H79" s="23">
        <v>500</v>
      </c>
      <c r="I79" s="27"/>
      <c r="J79" s="24">
        <f t="shared" si="9"/>
        <v>36448.18</v>
      </c>
      <c r="K79" s="24">
        <f t="shared" si="8"/>
        <v>6215.1999999999971</v>
      </c>
    </row>
    <row r="80" spans="2:11" x14ac:dyDescent="0.25">
      <c r="B80" s="31">
        <v>42693</v>
      </c>
      <c r="C80" s="21" t="s">
        <v>1191</v>
      </c>
      <c r="D80" s="23"/>
      <c r="E80" s="23"/>
      <c r="F80" s="23"/>
      <c r="G80" s="23"/>
      <c r="H80" s="23">
        <v>350</v>
      </c>
      <c r="I80" s="27"/>
      <c r="J80" s="24">
        <f t="shared" si="9"/>
        <v>36448.18</v>
      </c>
      <c r="K80" s="24">
        <f t="shared" si="8"/>
        <v>5865.1999999999971</v>
      </c>
    </row>
    <row r="81" spans="2:11" x14ac:dyDescent="0.25">
      <c r="B81" s="31">
        <v>42693</v>
      </c>
      <c r="C81" s="21" t="s">
        <v>1200</v>
      </c>
      <c r="D81" s="23"/>
      <c r="E81" s="23"/>
      <c r="F81" s="23"/>
      <c r="G81" s="23"/>
      <c r="H81" s="23">
        <v>300</v>
      </c>
      <c r="I81" s="27"/>
      <c r="J81" s="24">
        <f t="shared" si="9"/>
        <v>36448.18</v>
      </c>
      <c r="K81" s="24">
        <f t="shared" si="8"/>
        <v>5565.1999999999971</v>
      </c>
    </row>
    <row r="82" spans="2:11" x14ac:dyDescent="0.25">
      <c r="B82" s="31">
        <v>42693</v>
      </c>
      <c r="C82" s="21" t="s">
        <v>1201</v>
      </c>
      <c r="D82" s="23"/>
      <c r="E82" s="23"/>
      <c r="F82" s="23"/>
      <c r="G82" s="23"/>
      <c r="H82" s="23">
        <v>649</v>
      </c>
      <c r="I82" s="27"/>
      <c r="J82" s="24">
        <f t="shared" si="9"/>
        <v>36448.18</v>
      </c>
      <c r="K82" s="24">
        <f t="shared" si="8"/>
        <v>4916.1999999999971</v>
      </c>
    </row>
    <row r="83" spans="2:11" x14ac:dyDescent="0.25">
      <c r="B83" s="31">
        <v>42693</v>
      </c>
      <c r="C83" s="151" t="s">
        <v>1217</v>
      </c>
      <c r="D83" s="23"/>
      <c r="E83" s="23"/>
      <c r="F83" s="23"/>
      <c r="G83" s="23"/>
      <c r="H83" s="23">
        <v>28</v>
      </c>
      <c r="I83" s="27"/>
      <c r="J83" s="24">
        <f t="shared" ref="J83:J109" si="10">+J82+E83-G83</f>
        <v>36448.18</v>
      </c>
      <c r="K83" s="24">
        <f t="shared" ref="K83:K109" si="11">+K82+D83-H83</f>
        <v>4888.1999999999971</v>
      </c>
    </row>
    <row r="84" spans="2:11" x14ac:dyDescent="0.25">
      <c r="B84" s="31">
        <v>42693</v>
      </c>
      <c r="C84" s="60" t="s">
        <v>1181</v>
      </c>
      <c r="D84" s="23"/>
      <c r="E84" s="23"/>
      <c r="F84" s="23"/>
      <c r="G84" s="23"/>
      <c r="H84" s="23">
        <v>279.60000000000002</v>
      </c>
      <c r="I84" s="27"/>
      <c r="J84" s="24">
        <f t="shared" si="10"/>
        <v>36448.18</v>
      </c>
      <c r="K84" s="24">
        <f t="shared" si="11"/>
        <v>4608.5999999999967</v>
      </c>
    </row>
    <row r="85" spans="2:11" x14ac:dyDescent="0.25">
      <c r="B85" s="31">
        <v>42693</v>
      </c>
      <c r="C85" s="62" t="s">
        <v>1202</v>
      </c>
      <c r="D85" s="23"/>
      <c r="E85" s="23"/>
      <c r="F85" s="23"/>
      <c r="G85" s="23"/>
      <c r="H85" s="23">
        <v>300</v>
      </c>
      <c r="I85" s="27"/>
      <c r="J85" s="24">
        <f t="shared" si="10"/>
        <v>36448.18</v>
      </c>
      <c r="K85" s="24">
        <f t="shared" si="11"/>
        <v>4308.5999999999967</v>
      </c>
    </row>
    <row r="86" spans="2:11" x14ac:dyDescent="0.25">
      <c r="B86" s="31">
        <v>42693</v>
      </c>
      <c r="C86" s="21" t="s">
        <v>1203</v>
      </c>
      <c r="D86" s="23"/>
      <c r="E86" s="23"/>
      <c r="F86" s="23"/>
      <c r="G86" s="23"/>
      <c r="H86" s="23">
        <v>50</v>
      </c>
      <c r="I86" s="27"/>
      <c r="J86" s="24">
        <f t="shared" si="10"/>
        <v>36448.18</v>
      </c>
      <c r="K86" s="24">
        <f t="shared" si="11"/>
        <v>4258.5999999999967</v>
      </c>
    </row>
    <row r="87" spans="2:11" x14ac:dyDescent="0.25">
      <c r="B87" s="31">
        <v>42694</v>
      </c>
      <c r="C87" s="25" t="s">
        <v>1204</v>
      </c>
      <c r="D87" s="73"/>
      <c r="E87" s="73"/>
      <c r="F87" s="73"/>
      <c r="G87" s="28"/>
      <c r="H87" s="23">
        <v>150</v>
      </c>
      <c r="I87" s="27"/>
      <c r="J87" s="24">
        <f t="shared" si="10"/>
        <v>36448.18</v>
      </c>
      <c r="K87" s="24">
        <f t="shared" si="11"/>
        <v>4108.5999999999967</v>
      </c>
    </row>
    <row r="88" spans="2:11" x14ac:dyDescent="0.25">
      <c r="B88" s="31">
        <v>42694</v>
      </c>
      <c r="C88" s="25" t="s">
        <v>1205</v>
      </c>
      <c r="D88" s="73"/>
      <c r="E88" s="73"/>
      <c r="F88" s="73"/>
      <c r="G88" s="28"/>
      <c r="H88" s="23">
        <v>1598.01</v>
      </c>
      <c r="I88" s="27"/>
      <c r="J88" s="24">
        <f t="shared" si="10"/>
        <v>36448.18</v>
      </c>
      <c r="K88" s="24">
        <f t="shared" si="11"/>
        <v>2510.5899999999965</v>
      </c>
    </row>
    <row r="89" spans="2:11" x14ac:dyDescent="0.25">
      <c r="B89" s="31">
        <v>42694</v>
      </c>
      <c r="C89" s="25" t="s">
        <v>993</v>
      </c>
      <c r="D89" s="73"/>
      <c r="E89" s="73"/>
      <c r="F89" s="73"/>
      <c r="G89" s="28"/>
      <c r="H89" s="23">
        <v>92.5</v>
      </c>
      <c r="I89" s="27"/>
      <c r="J89" s="24">
        <f t="shared" si="10"/>
        <v>36448.18</v>
      </c>
      <c r="K89" s="24">
        <f t="shared" si="11"/>
        <v>2418.0899999999965</v>
      </c>
    </row>
    <row r="90" spans="2:11" x14ac:dyDescent="0.25">
      <c r="B90" s="31">
        <v>42694</v>
      </c>
      <c r="C90" s="25" t="s">
        <v>446</v>
      </c>
      <c r="D90" s="73"/>
      <c r="E90" s="73"/>
      <c r="F90" s="73"/>
      <c r="G90" s="28"/>
      <c r="H90" s="23">
        <v>120</v>
      </c>
      <c r="I90" s="27"/>
      <c r="J90" s="24">
        <f t="shared" si="10"/>
        <v>36448.18</v>
      </c>
      <c r="K90" s="24">
        <f t="shared" si="11"/>
        <v>2298.0899999999965</v>
      </c>
    </row>
    <row r="91" spans="2:11" x14ac:dyDescent="0.25">
      <c r="B91" s="31">
        <v>42694</v>
      </c>
      <c r="C91" s="25" t="s">
        <v>1206</v>
      </c>
      <c r="D91" s="73"/>
      <c r="E91" s="73"/>
      <c r="F91" s="73"/>
      <c r="G91" s="73"/>
      <c r="H91" s="23">
        <v>150</v>
      </c>
      <c r="I91" s="27"/>
      <c r="J91" s="24">
        <f t="shared" si="10"/>
        <v>36448.18</v>
      </c>
      <c r="K91" s="24">
        <f t="shared" si="11"/>
        <v>2148.0899999999965</v>
      </c>
    </row>
    <row r="92" spans="2:11" x14ac:dyDescent="0.25">
      <c r="B92" s="31">
        <v>42694</v>
      </c>
      <c r="C92" s="25" t="s">
        <v>1211</v>
      </c>
      <c r="D92" s="73"/>
      <c r="E92" s="73"/>
      <c r="F92" s="73"/>
      <c r="G92" s="73"/>
      <c r="H92" s="23">
        <v>92</v>
      </c>
      <c r="I92" s="27"/>
      <c r="J92" s="24">
        <f t="shared" si="10"/>
        <v>36448.18</v>
      </c>
      <c r="K92" s="24">
        <f t="shared" si="11"/>
        <v>2056.0899999999965</v>
      </c>
    </row>
    <row r="93" spans="2:11" x14ac:dyDescent="0.25">
      <c r="B93" s="31">
        <v>42694</v>
      </c>
      <c r="C93" s="21" t="s">
        <v>1207</v>
      </c>
      <c r="D93" s="23">
        <v>16200</v>
      </c>
      <c r="E93" s="23"/>
      <c r="F93" s="23"/>
      <c r="G93" s="23"/>
      <c r="H93" s="23"/>
      <c r="I93" s="27"/>
      <c r="J93" s="24">
        <f t="shared" si="10"/>
        <v>36448.18</v>
      </c>
      <c r="K93" s="24">
        <f t="shared" si="11"/>
        <v>18256.089999999997</v>
      </c>
    </row>
    <row r="94" spans="2:11" x14ac:dyDescent="0.25">
      <c r="B94" s="31">
        <v>42695</v>
      </c>
      <c r="C94" s="21" t="s">
        <v>1208</v>
      </c>
      <c r="D94" s="23"/>
      <c r="E94" s="23"/>
      <c r="F94" s="23"/>
      <c r="G94" s="23"/>
      <c r="H94" s="23">
        <v>340</v>
      </c>
      <c r="I94" s="27"/>
      <c r="J94" s="24">
        <f t="shared" si="10"/>
        <v>36448.18</v>
      </c>
      <c r="K94" s="24">
        <f t="shared" si="11"/>
        <v>17916.089999999997</v>
      </c>
    </row>
    <row r="95" spans="2:11" x14ac:dyDescent="0.25">
      <c r="B95" s="31">
        <v>42695</v>
      </c>
      <c r="C95" s="21" t="s">
        <v>1209</v>
      </c>
      <c r="D95" s="23"/>
      <c r="E95" s="23"/>
      <c r="F95" s="23"/>
      <c r="G95" s="23"/>
      <c r="H95" s="23">
        <v>300</v>
      </c>
      <c r="I95" s="27"/>
      <c r="J95" s="24">
        <f t="shared" si="10"/>
        <v>36448.18</v>
      </c>
      <c r="K95" s="24">
        <f t="shared" si="11"/>
        <v>17616.089999999997</v>
      </c>
    </row>
    <row r="96" spans="2:11" x14ac:dyDescent="0.25">
      <c r="B96" s="31">
        <v>42695</v>
      </c>
      <c r="C96" s="21" t="s">
        <v>1210</v>
      </c>
      <c r="D96" s="23"/>
      <c r="E96" s="23"/>
      <c r="F96" s="23"/>
      <c r="G96" s="23"/>
      <c r="H96" s="23">
        <v>230</v>
      </c>
      <c r="I96" s="27"/>
      <c r="J96" s="24">
        <f t="shared" si="10"/>
        <v>36448.18</v>
      </c>
      <c r="K96" s="24">
        <f t="shared" si="11"/>
        <v>17386.089999999997</v>
      </c>
    </row>
    <row r="97" spans="2:12" x14ac:dyDescent="0.25">
      <c r="B97" s="31">
        <v>42696</v>
      </c>
      <c r="C97" s="21" t="s">
        <v>1212</v>
      </c>
      <c r="D97" s="23"/>
      <c r="E97" s="23"/>
      <c r="F97" s="23"/>
      <c r="G97" s="23"/>
      <c r="H97" s="23">
        <v>70</v>
      </c>
      <c r="I97" s="27"/>
      <c r="J97" s="24">
        <f t="shared" si="10"/>
        <v>36448.18</v>
      </c>
      <c r="K97" s="24">
        <f t="shared" si="11"/>
        <v>17316.089999999997</v>
      </c>
    </row>
    <row r="98" spans="2:12" x14ac:dyDescent="0.25">
      <c r="B98" s="31">
        <v>42696</v>
      </c>
      <c r="C98" s="21" t="s">
        <v>1213</v>
      </c>
      <c r="D98" s="23"/>
      <c r="E98" s="23"/>
      <c r="F98" s="23"/>
      <c r="G98" s="23"/>
      <c r="H98" s="23">
        <v>14.5</v>
      </c>
      <c r="I98" s="27"/>
      <c r="J98" s="24">
        <f t="shared" si="10"/>
        <v>36448.18</v>
      </c>
      <c r="K98" s="24">
        <f t="shared" si="11"/>
        <v>17301.589999999997</v>
      </c>
    </row>
    <row r="99" spans="2:12" x14ac:dyDescent="0.25">
      <c r="B99" s="31">
        <v>42696</v>
      </c>
      <c r="C99" s="21" t="s">
        <v>1214</v>
      </c>
      <c r="D99" s="23"/>
      <c r="E99" s="23"/>
      <c r="F99" s="23"/>
      <c r="G99" s="23"/>
      <c r="H99" s="23">
        <v>900</v>
      </c>
      <c r="I99" s="27"/>
      <c r="J99" s="24">
        <f t="shared" si="10"/>
        <v>36448.18</v>
      </c>
      <c r="K99" s="24">
        <f t="shared" si="11"/>
        <v>16401.589999999997</v>
      </c>
    </row>
    <row r="100" spans="2:12" x14ac:dyDescent="0.25">
      <c r="B100" s="31">
        <v>42696</v>
      </c>
      <c r="C100" s="62" t="s">
        <v>1215</v>
      </c>
      <c r="D100" s="23"/>
      <c r="E100" s="23"/>
      <c r="F100" s="23"/>
      <c r="G100" s="23"/>
      <c r="H100" s="23">
        <v>500</v>
      </c>
      <c r="I100" s="27"/>
      <c r="J100" s="24">
        <f t="shared" si="10"/>
        <v>36448.18</v>
      </c>
      <c r="K100" s="24">
        <f t="shared" si="11"/>
        <v>15901.589999999997</v>
      </c>
    </row>
    <row r="101" spans="2:12" x14ac:dyDescent="0.25">
      <c r="B101" s="31">
        <v>42696</v>
      </c>
      <c r="C101" s="60" t="s">
        <v>1218</v>
      </c>
      <c r="D101" s="23"/>
      <c r="E101" s="23"/>
      <c r="F101" s="23"/>
      <c r="G101" s="23"/>
      <c r="H101" s="23">
        <v>26</v>
      </c>
      <c r="I101" s="27"/>
      <c r="J101" s="24">
        <f t="shared" si="10"/>
        <v>36448.18</v>
      </c>
      <c r="K101" s="24">
        <f t="shared" si="11"/>
        <v>15875.589999999997</v>
      </c>
    </row>
    <row r="102" spans="2:12" x14ac:dyDescent="0.25">
      <c r="B102" s="31">
        <v>42696</v>
      </c>
      <c r="C102" s="21" t="s">
        <v>1216</v>
      </c>
      <c r="D102" s="23"/>
      <c r="E102" s="23"/>
      <c r="F102" s="23"/>
      <c r="G102" s="23"/>
      <c r="H102" s="23">
        <v>180</v>
      </c>
      <c r="I102" s="27"/>
      <c r="J102" s="24">
        <f t="shared" si="10"/>
        <v>36448.18</v>
      </c>
      <c r="K102" s="24">
        <f t="shared" si="11"/>
        <v>15695.589999999997</v>
      </c>
    </row>
    <row r="103" spans="2:12" x14ac:dyDescent="0.25">
      <c r="B103" s="31">
        <v>42698</v>
      </c>
      <c r="C103" s="21" t="s">
        <v>1218</v>
      </c>
      <c r="D103" s="23"/>
      <c r="E103" s="23"/>
      <c r="F103" s="23"/>
      <c r="G103" s="23"/>
      <c r="H103" s="23">
        <v>96</v>
      </c>
      <c r="I103" s="27"/>
      <c r="J103" s="24">
        <f t="shared" si="10"/>
        <v>36448.18</v>
      </c>
      <c r="K103" s="24">
        <f t="shared" si="11"/>
        <v>15599.589999999997</v>
      </c>
    </row>
    <row r="104" spans="2:12" x14ac:dyDescent="0.25">
      <c r="B104" s="31">
        <v>42698</v>
      </c>
      <c r="C104" s="21" t="s">
        <v>1219</v>
      </c>
      <c r="D104" s="23"/>
      <c r="E104" s="23"/>
      <c r="F104" s="23"/>
      <c r="G104" s="23"/>
      <c r="H104" s="23">
        <v>160</v>
      </c>
      <c r="I104" s="27"/>
      <c r="J104" s="24">
        <f t="shared" si="10"/>
        <v>36448.18</v>
      </c>
      <c r="K104" s="24">
        <f t="shared" si="11"/>
        <v>15439.589999999997</v>
      </c>
      <c r="L104" s="1">
        <f>SUM(H58:H106)</f>
        <v>66426.2</v>
      </c>
    </row>
    <row r="105" spans="2:12" x14ac:dyDescent="0.25">
      <c r="B105" s="31">
        <v>42698</v>
      </c>
      <c r="C105" s="21" t="s">
        <v>1220</v>
      </c>
      <c r="D105" s="23"/>
      <c r="E105" s="23"/>
      <c r="F105" s="23"/>
      <c r="G105" s="23"/>
      <c r="H105" s="23">
        <v>850</v>
      </c>
      <c r="I105" s="27"/>
      <c r="J105" s="24">
        <f t="shared" si="10"/>
        <v>36448.18</v>
      </c>
      <c r="K105" s="24">
        <f t="shared" si="11"/>
        <v>14589.589999999997</v>
      </c>
    </row>
    <row r="106" spans="2:12" x14ac:dyDescent="0.25">
      <c r="B106" s="31">
        <v>42698</v>
      </c>
      <c r="C106" s="25" t="s">
        <v>1221</v>
      </c>
      <c r="D106" s="23"/>
      <c r="E106" s="23"/>
      <c r="F106" s="23"/>
      <c r="G106" s="23"/>
      <c r="H106" s="23">
        <v>10.5</v>
      </c>
      <c r="I106" s="27"/>
      <c r="J106" s="24">
        <f t="shared" si="10"/>
        <v>36448.18</v>
      </c>
      <c r="K106" s="24">
        <f t="shared" si="11"/>
        <v>14579.089999999997</v>
      </c>
    </row>
    <row r="107" spans="2:12" x14ac:dyDescent="0.25">
      <c r="B107" s="31">
        <v>42698</v>
      </c>
      <c r="C107" s="21" t="s">
        <v>1222</v>
      </c>
      <c r="D107" s="23"/>
      <c r="E107" s="23"/>
      <c r="F107" s="23"/>
      <c r="G107" s="23"/>
      <c r="H107" s="23">
        <v>40</v>
      </c>
      <c r="I107" s="27"/>
      <c r="J107" s="24">
        <f t="shared" si="10"/>
        <v>36448.18</v>
      </c>
      <c r="K107" s="24">
        <f t="shared" si="11"/>
        <v>14539.089999999997</v>
      </c>
    </row>
    <row r="108" spans="2:12" x14ac:dyDescent="0.25">
      <c r="B108" s="31">
        <v>42698</v>
      </c>
      <c r="C108" s="21" t="s">
        <v>1223</v>
      </c>
      <c r="D108" s="23"/>
      <c r="E108" s="23"/>
      <c r="F108" s="23"/>
      <c r="G108" s="23"/>
      <c r="H108" s="23">
        <v>40</v>
      </c>
      <c r="I108" s="27"/>
      <c r="J108" s="24">
        <f t="shared" si="10"/>
        <v>36448.18</v>
      </c>
      <c r="K108" s="24">
        <f t="shared" si="11"/>
        <v>14499.089999999997</v>
      </c>
    </row>
    <row r="109" spans="2:12" ht="15.75" thickBot="1" x14ac:dyDescent="0.3">
      <c r="B109" s="31">
        <v>42698</v>
      </c>
      <c r="C109" s="21" t="s">
        <v>1223</v>
      </c>
      <c r="D109" s="23"/>
      <c r="E109" s="23"/>
      <c r="F109" s="23"/>
      <c r="G109" s="23"/>
      <c r="H109" s="23">
        <v>260</v>
      </c>
      <c r="I109" s="27"/>
      <c r="J109" s="24">
        <f t="shared" si="10"/>
        <v>36448.18</v>
      </c>
      <c r="K109" s="24">
        <f t="shared" si="11"/>
        <v>14239.089999999997</v>
      </c>
    </row>
    <row r="110" spans="2:12" ht="15.75" thickBot="1" x14ac:dyDescent="0.3">
      <c r="B110" s="13"/>
      <c r="C110" s="16" t="s">
        <v>0</v>
      </c>
      <c r="D110" s="105">
        <f>SUM(D56:D109)</f>
        <v>72465</v>
      </c>
      <c r="E110" s="103">
        <f>SUM(E56:E106)</f>
        <v>0</v>
      </c>
      <c r="F110" s="114">
        <f>SUM(D110:E110)</f>
        <v>72465</v>
      </c>
      <c r="G110" s="126">
        <f>SUM(G58:G109)</f>
        <v>15984</v>
      </c>
      <c r="H110" s="144">
        <f>SUM(H58:H109)</f>
        <v>66766.2</v>
      </c>
      <c r="I110" s="114">
        <f>SUM(G110:H110)</f>
        <v>82750.2</v>
      </c>
      <c r="J110" s="33">
        <v>36448.18</v>
      </c>
      <c r="K110" s="33"/>
    </row>
    <row r="111" spans="2:12" x14ac:dyDescent="0.25">
      <c r="B111" s="111" t="s">
        <v>1</v>
      </c>
      <c r="C111" s="111" t="s">
        <v>2</v>
      </c>
      <c r="D111" s="111" t="s">
        <v>3</v>
      </c>
      <c r="E111" s="111" t="s">
        <v>3</v>
      </c>
      <c r="F111" s="111" t="s">
        <v>323</v>
      </c>
      <c r="G111" s="111" t="s">
        <v>324</v>
      </c>
      <c r="H111" s="81" t="s">
        <v>324</v>
      </c>
      <c r="I111" s="81" t="s">
        <v>323</v>
      </c>
      <c r="J111" s="111" t="s">
        <v>174</v>
      </c>
      <c r="K111" s="81" t="s">
        <v>173</v>
      </c>
    </row>
    <row r="112" spans="2:12" ht="15.75" thickBot="1" x14ac:dyDescent="0.3">
      <c r="B112" s="112"/>
      <c r="C112" s="112"/>
      <c r="D112" s="112" t="s">
        <v>6</v>
      </c>
      <c r="E112" s="112" t="s">
        <v>325</v>
      </c>
      <c r="F112" s="112" t="s">
        <v>3</v>
      </c>
      <c r="G112" s="112" t="s">
        <v>325</v>
      </c>
      <c r="H112" s="113" t="s">
        <v>6</v>
      </c>
      <c r="I112" s="113" t="s">
        <v>5</v>
      </c>
      <c r="J112" s="112"/>
      <c r="K112" s="113"/>
    </row>
    <row r="113" spans="2:11" ht="15.75" thickBot="1" x14ac:dyDescent="0.3">
      <c r="B113" s="13"/>
      <c r="C113" s="16" t="s">
        <v>0</v>
      </c>
      <c r="D113" s="105">
        <v>72465</v>
      </c>
      <c r="E113" s="103">
        <v>0</v>
      </c>
      <c r="F113" s="114">
        <f>SUM(D113:E113)</f>
        <v>72465</v>
      </c>
      <c r="G113" s="126">
        <v>15984</v>
      </c>
      <c r="H113" s="105">
        <v>66766.2</v>
      </c>
      <c r="I113" s="114">
        <f>SUM(G113:H113)</f>
        <v>82750.2</v>
      </c>
      <c r="J113" s="32">
        <v>36448.18</v>
      </c>
      <c r="K113" s="32">
        <v>14239.09</v>
      </c>
    </row>
    <row r="114" spans="2:11" x14ac:dyDescent="0.25">
      <c r="B114" s="31">
        <v>42698</v>
      </c>
      <c r="C114" s="21" t="s">
        <v>1224</v>
      </c>
      <c r="D114" s="23"/>
      <c r="E114" s="23"/>
      <c r="F114" s="23"/>
      <c r="G114" s="23"/>
      <c r="H114" s="23">
        <v>317</v>
      </c>
      <c r="I114" s="27"/>
      <c r="J114" s="24">
        <f t="shared" ref="J114:J148" si="12">+J113+E114-G114</f>
        <v>36448.18</v>
      </c>
      <c r="K114" s="24">
        <f>+K113+D114-H114</f>
        <v>13922.09</v>
      </c>
    </row>
    <row r="115" spans="2:11" x14ac:dyDescent="0.25">
      <c r="B115" s="31">
        <v>42698</v>
      </c>
      <c r="C115" s="21" t="s">
        <v>1216</v>
      </c>
      <c r="D115" s="23"/>
      <c r="E115" s="23"/>
      <c r="F115" s="23"/>
      <c r="G115" s="23"/>
      <c r="H115" s="23">
        <v>180</v>
      </c>
      <c r="I115" s="27"/>
      <c r="J115" s="24">
        <f t="shared" si="12"/>
        <v>36448.18</v>
      </c>
      <c r="K115" s="24">
        <f t="shared" ref="K115:K148" si="13">+K114+D115-H115</f>
        <v>13742.09</v>
      </c>
    </row>
    <row r="116" spans="2:11" x14ac:dyDescent="0.25">
      <c r="B116" s="31">
        <v>42698</v>
      </c>
      <c r="C116" s="21" t="s">
        <v>1225</v>
      </c>
      <c r="D116" s="23"/>
      <c r="E116" s="23"/>
      <c r="F116" s="23"/>
      <c r="G116" s="23"/>
      <c r="H116" s="23">
        <v>132.6</v>
      </c>
      <c r="I116" s="27"/>
      <c r="J116" s="24">
        <f t="shared" si="12"/>
        <v>36448.18</v>
      </c>
      <c r="K116" s="24">
        <f t="shared" si="13"/>
        <v>13609.49</v>
      </c>
    </row>
    <row r="117" spans="2:11" x14ac:dyDescent="0.25">
      <c r="B117" s="31">
        <v>42698</v>
      </c>
      <c r="C117" s="21" t="s">
        <v>1226</v>
      </c>
      <c r="D117" s="23"/>
      <c r="E117" s="23"/>
      <c r="F117" s="23"/>
      <c r="G117" s="23">
        <v>14500</v>
      </c>
      <c r="H117" s="23"/>
      <c r="I117" s="27"/>
      <c r="J117" s="24">
        <f t="shared" si="12"/>
        <v>21948.18</v>
      </c>
      <c r="K117" s="24">
        <f t="shared" si="13"/>
        <v>13609.49</v>
      </c>
    </row>
    <row r="118" spans="2:11" x14ac:dyDescent="0.25">
      <c r="B118" s="31">
        <v>42699</v>
      </c>
      <c r="C118" s="21" t="s">
        <v>1227</v>
      </c>
      <c r="D118" s="23"/>
      <c r="E118" s="23"/>
      <c r="F118" s="23"/>
      <c r="G118" s="23"/>
      <c r="H118" s="23">
        <v>1000</v>
      </c>
      <c r="I118" s="27"/>
      <c r="J118" s="24">
        <f t="shared" si="12"/>
        <v>21948.18</v>
      </c>
      <c r="K118" s="24">
        <f t="shared" si="13"/>
        <v>12609.49</v>
      </c>
    </row>
    <row r="119" spans="2:11" x14ac:dyDescent="0.25">
      <c r="B119" s="31">
        <v>42699</v>
      </c>
      <c r="C119" s="21" t="s">
        <v>1228</v>
      </c>
      <c r="D119" s="23"/>
      <c r="E119" s="23"/>
      <c r="F119" s="23"/>
      <c r="G119" s="23"/>
      <c r="H119" s="23">
        <v>350</v>
      </c>
      <c r="I119" s="27"/>
      <c r="J119" s="24">
        <f t="shared" si="12"/>
        <v>21948.18</v>
      </c>
      <c r="K119" s="24">
        <f t="shared" si="13"/>
        <v>12259.49</v>
      </c>
    </row>
    <row r="120" spans="2:11" x14ac:dyDescent="0.25">
      <c r="B120" s="31">
        <v>42700</v>
      </c>
      <c r="C120" s="21" t="s">
        <v>1229</v>
      </c>
      <c r="D120" s="23"/>
      <c r="E120" s="23"/>
      <c r="F120" s="23"/>
      <c r="G120" s="23"/>
      <c r="H120" s="23">
        <v>330</v>
      </c>
      <c r="I120" s="27"/>
      <c r="J120" s="24">
        <f t="shared" si="12"/>
        <v>21948.18</v>
      </c>
      <c r="K120" s="24">
        <f t="shared" si="13"/>
        <v>11929.49</v>
      </c>
    </row>
    <row r="121" spans="2:11" x14ac:dyDescent="0.25">
      <c r="B121" s="31">
        <v>42700</v>
      </c>
      <c r="C121" s="21" t="s">
        <v>1230</v>
      </c>
      <c r="D121" s="23"/>
      <c r="E121" s="23"/>
      <c r="F121" s="23"/>
      <c r="G121" s="23"/>
      <c r="H121" s="23">
        <v>500</v>
      </c>
      <c r="I121" s="27"/>
      <c r="J121" s="24">
        <f t="shared" si="12"/>
        <v>21948.18</v>
      </c>
      <c r="K121" s="24">
        <f t="shared" si="13"/>
        <v>11429.49</v>
      </c>
    </row>
    <row r="122" spans="2:11" x14ac:dyDescent="0.25">
      <c r="B122" s="31">
        <v>42700</v>
      </c>
      <c r="C122" s="21" t="s">
        <v>1231</v>
      </c>
      <c r="D122" s="23"/>
      <c r="E122" s="23"/>
      <c r="F122" s="23"/>
      <c r="G122" s="23"/>
      <c r="H122" s="23">
        <v>250</v>
      </c>
      <c r="I122" s="27"/>
      <c r="J122" s="24">
        <f t="shared" si="12"/>
        <v>21948.18</v>
      </c>
      <c r="K122" s="24">
        <f t="shared" si="13"/>
        <v>11179.49</v>
      </c>
    </row>
    <row r="123" spans="2:11" x14ac:dyDescent="0.25">
      <c r="B123" s="31">
        <v>42700</v>
      </c>
      <c r="C123" s="21" t="s">
        <v>1232</v>
      </c>
      <c r="D123" s="23"/>
      <c r="E123" s="23"/>
      <c r="F123" s="23"/>
      <c r="G123" s="23"/>
      <c r="H123" s="23">
        <v>350</v>
      </c>
      <c r="I123" s="27"/>
      <c r="J123" s="24">
        <f t="shared" si="12"/>
        <v>21948.18</v>
      </c>
      <c r="K123" s="24">
        <f t="shared" si="13"/>
        <v>10829.49</v>
      </c>
    </row>
    <row r="124" spans="2:11" x14ac:dyDescent="0.25">
      <c r="B124" s="31">
        <v>42700</v>
      </c>
      <c r="C124" s="21" t="s">
        <v>1233</v>
      </c>
      <c r="D124" s="23"/>
      <c r="E124" s="23"/>
      <c r="F124" s="23"/>
      <c r="G124" s="23"/>
      <c r="H124" s="23">
        <v>500</v>
      </c>
      <c r="I124" s="27"/>
      <c r="J124" s="24">
        <f t="shared" si="12"/>
        <v>21948.18</v>
      </c>
      <c r="K124" s="24">
        <f t="shared" si="13"/>
        <v>10329.49</v>
      </c>
    </row>
    <row r="125" spans="2:11" x14ac:dyDescent="0.25">
      <c r="B125" s="31">
        <v>42701</v>
      </c>
      <c r="C125" s="21" t="s">
        <v>1234</v>
      </c>
      <c r="D125" s="23"/>
      <c r="E125" s="23"/>
      <c r="F125" s="23"/>
      <c r="G125" s="23"/>
      <c r="H125" s="23">
        <v>136</v>
      </c>
      <c r="I125" s="27"/>
      <c r="J125" s="24">
        <f t="shared" si="12"/>
        <v>21948.18</v>
      </c>
      <c r="K125" s="24">
        <f t="shared" si="13"/>
        <v>10193.49</v>
      </c>
    </row>
    <row r="126" spans="2:11" x14ac:dyDescent="0.25">
      <c r="B126" s="31">
        <v>42701</v>
      </c>
      <c r="C126" s="21" t="s">
        <v>994</v>
      </c>
      <c r="D126" s="23"/>
      <c r="E126" s="23"/>
      <c r="F126" s="23"/>
      <c r="G126" s="23"/>
      <c r="H126" s="23">
        <v>120</v>
      </c>
      <c r="I126" s="27"/>
      <c r="J126" s="24">
        <f t="shared" si="12"/>
        <v>21948.18</v>
      </c>
      <c r="K126" s="24">
        <f t="shared" si="13"/>
        <v>10073.49</v>
      </c>
    </row>
    <row r="127" spans="2:11" x14ac:dyDescent="0.25">
      <c r="B127" s="31">
        <v>42701</v>
      </c>
      <c r="C127" s="21" t="s">
        <v>1235</v>
      </c>
      <c r="D127" s="23"/>
      <c r="E127" s="23"/>
      <c r="F127" s="23"/>
      <c r="G127" s="23"/>
      <c r="H127" s="23">
        <v>150</v>
      </c>
      <c r="I127" s="27"/>
      <c r="J127" s="24">
        <f t="shared" si="12"/>
        <v>21948.18</v>
      </c>
      <c r="K127" s="24">
        <f t="shared" si="13"/>
        <v>9923.49</v>
      </c>
    </row>
    <row r="128" spans="2:11" x14ac:dyDescent="0.25">
      <c r="B128" s="31">
        <v>42701</v>
      </c>
      <c r="C128" s="21" t="s">
        <v>1236</v>
      </c>
      <c r="D128" s="23"/>
      <c r="E128" s="23"/>
      <c r="F128" s="23"/>
      <c r="G128" s="23"/>
      <c r="H128" s="23">
        <v>300</v>
      </c>
      <c r="I128" s="27"/>
      <c r="J128" s="24">
        <f t="shared" si="12"/>
        <v>21948.18</v>
      </c>
      <c r="K128" s="24">
        <f t="shared" si="13"/>
        <v>9623.49</v>
      </c>
    </row>
    <row r="129" spans="2:11" x14ac:dyDescent="0.25">
      <c r="B129" s="31">
        <v>42701</v>
      </c>
      <c r="C129" s="21" t="s">
        <v>1237</v>
      </c>
      <c r="D129" s="73"/>
      <c r="E129" s="73"/>
      <c r="F129" s="73"/>
      <c r="G129" s="73"/>
      <c r="H129" s="23">
        <v>340</v>
      </c>
      <c r="I129" s="27"/>
      <c r="J129" s="24">
        <f t="shared" si="12"/>
        <v>21948.18</v>
      </c>
      <c r="K129" s="24">
        <f t="shared" si="13"/>
        <v>9283.49</v>
      </c>
    </row>
    <row r="130" spans="2:11" x14ac:dyDescent="0.25">
      <c r="B130" s="31">
        <v>42702</v>
      </c>
      <c r="C130" s="25" t="s">
        <v>1238</v>
      </c>
      <c r="D130" s="73"/>
      <c r="E130" s="73"/>
      <c r="F130" s="73"/>
      <c r="G130" s="28"/>
      <c r="H130" s="23">
        <v>400</v>
      </c>
      <c r="I130" s="27"/>
      <c r="J130" s="24">
        <f t="shared" si="12"/>
        <v>21948.18</v>
      </c>
      <c r="K130" s="24">
        <f t="shared" si="13"/>
        <v>8883.49</v>
      </c>
    </row>
    <row r="131" spans="2:11" x14ac:dyDescent="0.25">
      <c r="B131" s="31">
        <v>42702</v>
      </c>
      <c r="C131" s="25" t="s">
        <v>1239</v>
      </c>
      <c r="D131" s="73"/>
      <c r="E131" s="73"/>
      <c r="F131" s="73"/>
      <c r="G131" s="73"/>
      <c r="H131" s="23">
        <v>100</v>
      </c>
      <c r="I131" s="27"/>
      <c r="J131" s="24">
        <f t="shared" si="12"/>
        <v>21948.18</v>
      </c>
      <c r="K131" s="24">
        <f t="shared" si="13"/>
        <v>8783.49</v>
      </c>
    </row>
    <row r="132" spans="2:11" x14ac:dyDescent="0.25">
      <c r="B132" s="31">
        <v>42702</v>
      </c>
      <c r="C132" s="25" t="s">
        <v>1240</v>
      </c>
      <c r="D132" s="73"/>
      <c r="E132" s="73"/>
      <c r="F132" s="73"/>
      <c r="G132" s="73"/>
      <c r="H132" s="23">
        <v>220</v>
      </c>
      <c r="I132" s="27"/>
      <c r="J132" s="24">
        <f t="shared" si="12"/>
        <v>21948.18</v>
      </c>
      <c r="K132" s="24">
        <f t="shared" si="13"/>
        <v>8563.49</v>
      </c>
    </row>
    <row r="133" spans="2:11" x14ac:dyDescent="0.25">
      <c r="B133" s="31">
        <v>42702</v>
      </c>
      <c r="C133" s="25" t="s">
        <v>1241</v>
      </c>
      <c r="D133" s="73"/>
      <c r="E133" s="73"/>
      <c r="F133" s="73"/>
      <c r="G133" s="73"/>
      <c r="H133" s="23">
        <v>320</v>
      </c>
      <c r="I133" s="27"/>
      <c r="J133" s="24">
        <f t="shared" si="12"/>
        <v>21948.18</v>
      </c>
      <c r="K133" s="24">
        <f t="shared" si="13"/>
        <v>8243.49</v>
      </c>
    </row>
    <row r="134" spans="2:11" x14ac:dyDescent="0.25">
      <c r="B134" s="31">
        <v>42702</v>
      </c>
      <c r="C134" s="25" t="s">
        <v>1242</v>
      </c>
      <c r="D134" s="73">
        <v>28000</v>
      </c>
      <c r="E134" s="73"/>
      <c r="F134" s="73"/>
      <c r="G134" s="73"/>
      <c r="H134" s="23"/>
      <c r="I134" s="27"/>
      <c r="J134" s="24">
        <f t="shared" si="12"/>
        <v>21948.18</v>
      </c>
      <c r="K134" s="24">
        <f t="shared" si="13"/>
        <v>36243.49</v>
      </c>
    </row>
    <row r="135" spans="2:11" x14ac:dyDescent="0.25">
      <c r="B135" s="31">
        <v>42703</v>
      </c>
      <c r="C135" s="25" t="s">
        <v>1244</v>
      </c>
      <c r="D135" s="73"/>
      <c r="E135" s="73"/>
      <c r="F135" s="73"/>
      <c r="G135" s="73"/>
      <c r="H135" s="23">
        <v>1000</v>
      </c>
      <c r="I135" s="27"/>
      <c r="J135" s="24">
        <f t="shared" si="12"/>
        <v>21948.18</v>
      </c>
      <c r="K135" s="24">
        <f t="shared" si="13"/>
        <v>35243.49</v>
      </c>
    </row>
    <row r="136" spans="2:11" x14ac:dyDescent="0.25">
      <c r="B136" s="31">
        <v>42703</v>
      </c>
      <c r="C136" s="25" t="s">
        <v>1243</v>
      </c>
      <c r="D136" s="73"/>
      <c r="E136" s="73"/>
      <c r="F136" s="73"/>
      <c r="G136" s="73"/>
      <c r="H136" s="23">
        <v>840</v>
      </c>
      <c r="I136" s="27"/>
      <c r="J136" s="24">
        <f t="shared" si="12"/>
        <v>21948.18</v>
      </c>
      <c r="K136" s="24">
        <f t="shared" si="13"/>
        <v>34403.49</v>
      </c>
    </row>
    <row r="137" spans="2:11" x14ac:dyDescent="0.25">
      <c r="B137" s="31">
        <v>42703</v>
      </c>
      <c r="C137" s="25" t="s">
        <v>1245</v>
      </c>
      <c r="D137" s="73"/>
      <c r="E137" s="73"/>
      <c r="F137" s="73"/>
      <c r="G137" s="73"/>
      <c r="H137" s="23">
        <v>200</v>
      </c>
      <c r="I137" s="27"/>
      <c r="J137" s="24">
        <f t="shared" si="12"/>
        <v>21948.18</v>
      </c>
      <c r="K137" s="24">
        <f t="shared" si="13"/>
        <v>34203.49</v>
      </c>
    </row>
    <row r="138" spans="2:11" x14ac:dyDescent="0.25">
      <c r="B138" s="31">
        <v>42703</v>
      </c>
      <c r="C138" s="25" t="s">
        <v>1246</v>
      </c>
      <c r="D138" s="73"/>
      <c r="E138" s="73"/>
      <c r="F138" s="73"/>
      <c r="G138" s="73"/>
      <c r="H138" s="23">
        <v>65</v>
      </c>
      <c r="I138" s="27"/>
      <c r="J138" s="24">
        <f t="shared" si="12"/>
        <v>21948.18</v>
      </c>
      <c r="K138" s="24">
        <f t="shared" si="13"/>
        <v>34138.49</v>
      </c>
    </row>
    <row r="139" spans="2:11" x14ac:dyDescent="0.25">
      <c r="B139" s="31">
        <v>42703</v>
      </c>
      <c r="C139" s="60" t="s">
        <v>1247</v>
      </c>
      <c r="D139" s="23"/>
      <c r="E139" s="23"/>
      <c r="F139" s="23"/>
      <c r="G139" s="23"/>
      <c r="H139" s="23">
        <v>279.60000000000002</v>
      </c>
      <c r="I139" s="27"/>
      <c r="J139" s="24">
        <f t="shared" si="12"/>
        <v>21948.18</v>
      </c>
      <c r="K139" s="24">
        <f t="shared" si="13"/>
        <v>33858.89</v>
      </c>
    </row>
    <row r="140" spans="2:11" x14ac:dyDescent="0.25">
      <c r="B140" s="31">
        <v>42703</v>
      </c>
      <c r="C140" s="25" t="s">
        <v>1248</v>
      </c>
      <c r="D140" s="23"/>
      <c r="E140" s="23"/>
      <c r="F140" s="23"/>
      <c r="G140" s="23"/>
      <c r="H140" s="23">
        <v>100</v>
      </c>
      <c r="I140" s="27"/>
      <c r="J140" s="24">
        <f t="shared" si="12"/>
        <v>21948.18</v>
      </c>
      <c r="K140" s="24">
        <f t="shared" si="13"/>
        <v>33758.89</v>
      </c>
    </row>
    <row r="141" spans="2:11" x14ac:dyDescent="0.25">
      <c r="B141" s="31">
        <v>42704</v>
      </c>
      <c r="C141" s="21" t="s">
        <v>1249</v>
      </c>
      <c r="D141" s="23"/>
      <c r="E141" s="23"/>
      <c r="F141" s="23"/>
      <c r="G141" s="23"/>
      <c r="H141" s="23">
        <v>22</v>
      </c>
      <c r="I141" s="27"/>
      <c r="J141" s="24">
        <f t="shared" si="12"/>
        <v>21948.18</v>
      </c>
      <c r="K141" s="24">
        <f t="shared" si="13"/>
        <v>33736.89</v>
      </c>
    </row>
    <row r="142" spans="2:11" x14ac:dyDescent="0.25">
      <c r="B142" s="31">
        <v>42704</v>
      </c>
      <c r="C142" s="21" t="s">
        <v>1250</v>
      </c>
      <c r="D142" s="23"/>
      <c r="E142" s="23"/>
      <c r="F142" s="23"/>
      <c r="G142" s="23">
        <v>14500</v>
      </c>
      <c r="H142" s="23"/>
      <c r="I142" s="27"/>
      <c r="J142" s="24">
        <f t="shared" si="12"/>
        <v>7448.18</v>
      </c>
      <c r="K142" s="24">
        <f t="shared" si="13"/>
        <v>33736.89</v>
      </c>
    </row>
    <row r="143" spans="2:11" x14ac:dyDescent="0.25">
      <c r="B143" s="31">
        <v>42704</v>
      </c>
      <c r="C143" s="21" t="s">
        <v>1251</v>
      </c>
      <c r="D143" s="23"/>
      <c r="E143" s="23"/>
      <c r="F143" s="23"/>
      <c r="G143" s="23"/>
      <c r="H143" s="23">
        <v>450</v>
      </c>
      <c r="I143" s="27"/>
      <c r="J143" s="24">
        <f t="shared" si="12"/>
        <v>7448.18</v>
      </c>
      <c r="K143" s="24">
        <f t="shared" si="13"/>
        <v>33286.89</v>
      </c>
    </row>
    <row r="144" spans="2:11" x14ac:dyDescent="0.25">
      <c r="B144" s="31">
        <v>42704</v>
      </c>
      <c r="C144" s="21" t="s">
        <v>1253</v>
      </c>
      <c r="D144" s="23"/>
      <c r="E144" s="23"/>
      <c r="F144" s="23"/>
      <c r="G144" s="23"/>
      <c r="H144" s="23">
        <v>300</v>
      </c>
      <c r="I144" s="27"/>
      <c r="J144" s="24">
        <f t="shared" si="12"/>
        <v>7448.18</v>
      </c>
      <c r="K144" s="24">
        <f t="shared" si="13"/>
        <v>32986.89</v>
      </c>
    </row>
    <row r="145" spans="2:11" x14ac:dyDescent="0.25">
      <c r="B145" s="31">
        <v>42704</v>
      </c>
      <c r="C145" s="21" t="s">
        <v>1252</v>
      </c>
      <c r="D145" s="23"/>
      <c r="E145" s="23"/>
      <c r="F145" s="23"/>
      <c r="G145" s="23"/>
      <c r="H145" s="23">
        <v>28</v>
      </c>
      <c r="I145" s="27"/>
      <c r="J145" s="24">
        <f t="shared" si="12"/>
        <v>7448.18</v>
      </c>
      <c r="K145" s="24">
        <f t="shared" si="13"/>
        <v>32958.89</v>
      </c>
    </row>
    <row r="146" spans="2:11" x14ac:dyDescent="0.25">
      <c r="B146" s="31">
        <v>42704</v>
      </c>
      <c r="C146" s="21" t="s">
        <v>1254</v>
      </c>
      <c r="D146" s="23"/>
      <c r="E146" s="23"/>
      <c r="F146" s="23"/>
      <c r="G146" s="23"/>
      <c r="H146" s="23">
        <v>4000</v>
      </c>
      <c r="I146" s="27"/>
      <c r="J146" s="24">
        <f t="shared" si="12"/>
        <v>7448.18</v>
      </c>
      <c r="K146" s="24">
        <f t="shared" si="13"/>
        <v>28958.89</v>
      </c>
    </row>
    <row r="147" spans="2:11" x14ac:dyDescent="0.25">
      <c r="B147" s="31">
        <v>42704</v>
      </c>
      <c r="C147" s="21" t="s">
        <v>1255</v>
      </c>
      <c r="D147" s="23">
        <v>1450</v>
      </c>
      <c r="E147" s="23"/>
      <c r="F147" s="23"/>
      <c r="G147" s="23"/>
      <c r="H147" s="23"/>
      <c r="I147" s="27"/>
      <c r="J147" s="24">
        <f t="shared" si="12"/>
        <v>7448.18</v>
      </c>
      <c r="K147" s="24">
        <f t="shared" si="13"/>
        <v>30408.89</v>
      </c>
    </row>
    <row r="148" spans="2:11" x14ac:dyDescent="0.25">
      <c r="B148" s="31">
        <v>42678</v>
      </c>
      <c r="C148" s="21" t="s">
        <v>1256</v>
      </c>
      <c r="D148" s="23"/>
      <c r="E148" s="23">
        <v>300.45999999999998</v>
      </c>
      <c r="F148" s="23"/>
      <c r="G148" s="23"/>
      <c r="H148" s="23"/>
      <c r="I148" s="27"/>
      <c r="J148" s="24">
        <f t="shared" si="12"/>
        <v>7748.64</v>
      </c>
      <c r="K148" s="24">
        <f t="shared" si="13"/>
        <v>30408.89</v>
      </c>
    </row>
    <row r="149" spans="2:11" x14ac:dyDescent="0.25">
      <c r="B149" s="31">
        <v>42698</v>
      </c>
      <c r="C149" s="21" t="s">
        <v>1257</v>
      </c>
      <c r="D149" s="23"/>
      <c r="E149" s="23">
        <v>12760</v>
      </c>
      <c r="F149" s="23"/>
      <c r="G149" s="23"/>
      <c r="H149" s="23"/>
      <c r="I149" s="27"/>
      <c r="J149" s="24">
        <f t="shared" ref="J149:J152" si="14">+J148+E149-G149</f>
        <v>20508.64</v>
      </c>
      <c r="K149" s="24">
        <f t="shared" ref="K149:K152" si="15">+K148+D149-H149</f>
        <v>30408.89</v>
      </c>
    </row>
    <row r="150" spans="2:11" x14ac:dyDescent="0.25">
      <c r="B150" s="31">
        <v>42704</v>
      </c>
      <c r="C150" s="21" t="s">
        <v>1258</v>
      </c>
      <c r="D150" s="23"/>
      <c r="E150" s="23"/>
      <c r="F150" s="23"/>
      <c r="G150" s="23">
        <v>84</v>
      </c>
      <c r="H150" s="23"/>
      <c r="I150" s="27"/>
      <c r="J150" s="24">
        <f t="shared" si="14"/>
        <v>20424.64</v>
      </c>
      <c r="K150" s="24">
        <f t="shared" si="15"/>
        <v>30408.89</v>
      </c>
    </row>
    <row r="151" spans="2:11" x14ac:dyDescent="0.25">
      <c r="B151" s="31">
        <v>42704</v>
      </c>
      <c r="C151" s="21" t="s">
        <v>1259</v>
      </c>
      <c r="D151" s="23"/>
      <c r="E151" s="23"/>
      <c r="F151" s="23"/>
      <c r="G151" s="23">
        <v>13.44</v>
      </c>
      <c r="H151" s="23"/>
      <c r="I151" s="27"/>
      <c r="J151" s="24">
        <f t="shared" si="14"/>
        <v>20411.2</v>
      </c>
      <c r="K151" s="24">
        <f t="shared" si="15"/>
        <v>30408.89</v>
      </c>
    </row>
    <row r="152" spans="2:11" ht="15.75" thickBot="1" x14ac:dyDescent="0.3">
      <c r="B152" s="31"/>
      <c r="C152" s="21"/>
      <c r="D152" s="23"/>
      <c r="E152" s="23"/>
      <c r="F152" s="23"/>
      <c r="G152" s="23"/>
      <c r="H152" s="92"/>
      <c r="I152" s="27"/>
      <c r="J152" s="24">
        <f t="shared" si="14"/>
        <v>20411.2</v>
      </c>
      <c r="K152" s="24">
        <f t="shared" si="15"/>
        <v>30408.89</v>
      </c>
    </row>
    <row r="153" spans="2:11" ht="15.75" thickBot="1" x14ac:dyDescent="0.3">
      <c r="B153" s="13"/>
      <c r="C153" s="16" t="s">
        <v>0</v>
      </c>
      <c r="D153" s="105">
        <f>SUM(D113:D152)</f>
        <v>101915</v>
      </c>
      <c r="E153" s="103">
        <f>SUM(E113:E152)</f>
        <v>13060.46</v>
      </c>
      <c r="F153" s="114">
        <f>SUM(D153:E153)</f>
        <v>114975.45999999999</v>
      </c>
      <c r="G153" s="126">
        <f>SUM(G113:G152)</f>
        <v>45081.440000000002</v>
      </c>
      <c r="H153" s="105">
        <f>SUM(H113:H152)</f>
        <v>80046.400000000009</v>
      </c>
      <c r="I153" s="114">
        <f>SUM(G153:H153)</f>
        <v>125127.84000000001</v>
      </c>
      <c r="J153" s="33"/>
      <c r="K153" s="33"/>
    </row>
    <row r="155" spans="2:11" ht="15.75" thickBot="1" x14ac:dyDescent="0.3"/>
    <row r="156" spans="2:11" ht="15.75" thickBot="1" x14ac:dyDescent="0.3">
      <c r="I156" s="117" t="s">
        <v>174</v>
      </c>
      <c r="J156" s="117" t="s">
        <v>173</v>
      </c>
      <c r="K156" s="141" t="s">
        <v>0</v>
      </c>
    </row>
    <row r="157" spans="2:11" ht="15.75" thickBot="1" x14ac:dyDescent="0.3">
      <c r="I157" s="120">
        <v>20411.2</v>
      </c>
      <c r="J157" s="120">
        <v>30408.89</v>
      </c>
      <c r="K157" s="33">
        <f>SUM(I157:J157)</f>
        <v>50820.09</v>
      </c>
    </row>
  </sheetData>
  <printOptions verticalCentered="1"/>
  <pageMargins left="0.70866141732283472" right="0" top="0.39370078740157483" bottom="0" header="0.31496062992125984" footer="0.31496062992125984"/>
  <pageSetup paperSize="9" scale="69" fitToHeight="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3"/>
  <sheetViews>
    <sheetView tabSelected="1" topLeftCell="B1" zoomScale="90" zoomScaleNormal="90" workbookViewId="0">
      <pane ySplit="3" topLeftCell="A169" activePane="bottomLeft" state="frozen"/>
      <selection pane="bottomLeft" activeCell="J178" sqref="J178:K178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6" width="11.7109375" customWidth="1"/>
    <col min="9" max="9" width="11.85546875" bestFit="1" customWidth="1"/>
  </cols>
  <sheetData>
    <row r="1" spans="2:11" ht="15.75" thickBot="1" x14ac:dyDescent="0.3">
      <c r="B1" s="125"/>
      <c r="C1" s="145" t="s">
        <v>1133</v>
      </c>
    </row>
    <row r="2" spans="2:11" x14ac:dyDescent="0.25">
      <c r="B2" s="111" t="s">
        <v>1</v>
      </c>
      <c r="C2" s="111" t="s">
        <v>2</v>
      </c>
      <c r="D2" s="111" t="s">
        <v>3</v>
      </c>
      <c r="E2" s="111" t="s">
        <v>3</v>
      </c>
      <c r="F2" s="111" t="s">
        <v>323</v>
      </c>
      <c r="G2" s="111" t="s">
        <v>324</v>
      </c>
      <c r="H2" s="81" t="s">
        <v>324</v>
      </c>
      <c r="I2" s="81" t="s">
        <v>323</v>
      </c>
      <c r="J2" s="111" t="s">
        <v>174</v>
      </c>
      <c r="K2" s="81" t="s">
        <v>173</v>
      </c>
    </row>
    <row r="3" spans="2:11" ht="15.75" thickBot="1" x14ac:dyDescent="0.3">
      <c r="B3" s="112"/>
      <c r="C3" s="112"/>
      <c r="D3" s="112" t="s">
        <v>6</v>
      </c>
      <c r="E3" s="112" t="s">
        <v>325</v>
      </c>
      <c r="F3" s="112" t="s">
        <v>3</v>
      </c>
      <c r="G3" s="112" t="s">
        <v>325</v>
      </c>
      <c r="H3" s="113" t="s">
        <v>6</v>
      </c>
      <c r="I3" s="113" t="s">
        <v>5</v>
      </c>
      <c r="J3" s="112"/>
      <c r="K3" s="113"/>
    </row>
    <row r="4" spans="2:11" x14ac:dyDescent="0.25">
      <c r="B4" s="36">
        <v>42704</v>
      </c>
      <c r="C4" s="108" t="s">
        <v>1132</v>
      </c>
      <c r="D4" s="109"/>
      <c r="E4" s="106"/>
      <c r="F4" s="106"/>
      <c r="G4" s="106"/>
      <c r="H4" s="30"/>
      <c r="I4" s="107"/>
      <c r="J4" s="116">
        <v>20411.2</v>
      </c>
      <c r="K4" s="143">
        <v>30408.89</v>
      </c>
    </row>
    <row r="5" spans="2:11" x14ac:dyDescent="0.25">
      <c r="B5" s="36">
        <v>42705</v>
      </c>
      <c r="C5" s="21" t="s">
        <v>1260</v>
      </c>
      <c r="D5" s="23"/>
      <c r="E5" s="23"/>
      <c r="F5" s="23"/>
      <c r="G5" s="23"/>
      <c r="H5" s="23">
        <v>200</v>
      </c>
      <c r="I5" s="27"/>
      <c r="J5" s="24">
        <f>+J4+E5-G5</f>
        <v>20411.2</v>
      </c>
      <c r="K5" s="24">
        <f t="shared" ref="K5:K54" si="0">+K4+D5-H5</f>
        <v>30208.89</v>
      </c>
    </row>
    <row r="6" spans="2:11" x14ac:dyDescent="0.25">
      <c r="B6" s="36">
        <v>42705</v>
      </c>
      <c r="C6" s="25" t="s">
        <v>1261</v>
      </c>
      <c r="D6" s="23"/>
      <c r="E6" s="23"/>
      <c r="F6" s="23"/>
      <c r="G6" s="23"/>
      <c r="H6" s="23">
        <v>190</v>
      </c>
      <c r="I6" s="27"/>
      <c r="J6" s="24">
        <f t="shared" ref="J6:J54" si="1">+J5+E6-G6</f>
        <v>20411.2</v>
      </c>
      <c r="K6" s="24">
        <f t="shared" si="0"/>
        <v>30018.89</v>
      </c>
    </row>
    <row r="7" spans="2:11" x14ac:dyDescent="0.25">
      <c r="B7" s="31">
        <v>42705</v>
      </c>
      <c r="C7" s="21" t="s">
        <v>1262</v>
      </c>
      <c r="D7" s="23"/>
      <c r="E7" s="23"/>
      <c r="F7" s="23"/>
      <c r="G7" s="23"/>
      <c r="H7" s="92">
        <v>308</v>
      </c>
      <c r="I7" s="27"/>
      <c r="J7" s="24">
        <f t="shared" si="1"/>
        <v>20411.2</v>
      </c>
      <c r="K7" s="24">
        <f t="shared" si="0"/>
        <v>29710.89</v>
      </c>
    </row>
    <row r="8" spans="2:11" x14ac:dyDescent="0.25">
      <c r="B8" s="31">
        <v>42705</v>
      </c>
      <c r="C8" s="25" t="s">
        <v>1263</v>
      </c>
      <c r="D8" s="23"/>
      <c r="E8" s="23"/>
      <c r="F8" s="23"/>
      <c r="G8" s="23"/>
      <c r="H8" s="23">
        <v>200</v>
      </c>
      <c r="I8" s="27"/>
      <c r="J8" s="24">
        <f t="shared" si="1"/>
        <v>20411.2</v>
      </c>
      <c r="K8" s="24">
        <f t="shared" si="0"/>
        <v>29510.89</v>
      </c>
    </row>
    <row r="9" spans="2:11" x14ac:dyDescent="0.25">
      <c r="B9" s="31">
        <v>42706</v>
      </c>
      <c r="C9" s="21" t="s">
        <v>1264</v>
      </c>
      <c r="D9" s="23"/>
      <c r="E9" s="23"/>
      <c r="F9" s="23"/>
      <c r="G9" s="23"/>
      <c r="H9" s="92">
        <v>1000</v>
      </c>
      <c r="I9" s="27"/>
      <c r="J9" s="24">
        <f t="shared" si="1"/>
        <v>20411.2</v>
      </c>
      <c r="K9" s="24">
        <f t="shared" si="0"/>
        <v>28510.89</v>
      </c>
    </row>
    <row r="10" spans="2:11" x14ac:dyDescent="0.25">
      <c r="B10" s="31">
        <v>42706</v>
      </c>
      <c r="C10" s="21" t="s">
        <v>1265</v>
      </c>
      <c r="D10" s="23"/>
      <c r="E10" s="23"/>
      <c r="F10" s="23"/>
      <c r="G10" s="23"/>
      <c r="H10" s="23">
        <v>324</v>
      </c>
      <c r="I10" s="27"/>
      <c r="J10" s="24">
        <f t="shared" si="1"/>
        <v>20411.2</v>
      </c>
      <c r="K10" s="24">
        <f t="shared" si="0"/>
        <v>28186.89</v>
      </c>
    </row>
    <row r="11" spans="2:11" x14ac:dyDescent="0.25">
      <c r="B11" s="31">
        <v>42706</v>
      </c>
      <c r="C11" s="21" t="s">
        <v>1266</v>
      </c>
      <c r="D11" s="23"/>
      <c r="E11" s="23"/>
      <c r="F11" s="23"/>
      <c r="G11" s="23"/>
      <c r="H11" s="23">
        <v>112.4</v>
      </c>
      <c r="I11" s="27"/>
      <c r="J11" s="24">
        <f t="shared" si="1"/>
        <v>20411.2</v>
      </c>
      <c r="K11" s="24">
        <f t="shared" si="0"/>
        <v>28074.489999999998</v>
      </c>
    </row>
    <row r="12" spans="2:11" x14ac:dyDescent="0.25">
      <c r="B12" s="31">
        <v>42706</v>
      </c>
      <c r="C12" s="21" t="s">
        <v>1267</v>
      </c>
      <c r="D12" s="23"/>
      <c r="E12" s="23"/>
      <c r="F12" s="23"/>
      <c r="G12" s="23"/>
      <c r="H12" s="23">
        <v>200</v>
      </c>
      <c r="I12" s="27"/>
      <c r="J12" s="24">
        <f t="shared" si="1"/>
        <v>20411.2</v>
      </c>
      <c r="K12" s="24">
        <f t="shared" si="0"/>
        <v>27874.489999999998</v>
      </c>
    </row>
    <row r="13" spans="2:11" x14ac:dyDescent="0.25">
      <c r="B13" s="31">
        <v>42707</v>
      </c>
      <c r="C13" s="21" t="s">
        <v>1268</v>
      </c>
      <c r="D13" s="23"/>
      <c r="E13" s="23"/>
      <c r="F13" s="23"/>
      <c r="G13" s="23">
        <v>735</v>
      </c>
      <c r="H13" s="92"/>
      <c r="I13" s="27"/>
      <c r="J13" s="24">
        <f t="shared" si="1"/>
        <v>19676.2</v>
      </c>
      <c r="K13" s="24">
        <f t="shared" si="0"/>
        <v>27874.489999999998</v>
      </c>
    </row>
    <row r="14" spans="2:11" x14ac:dyDescent="0.25">
      <c r="B14" s="31">
        <v>42707</v>
      </c>
      <c r="C14" s="21" t="s">
        <v>1269</v>
      </c>
      <c r="D14" s="23"/>
      <c r="E14" s="23"/>
      <c r="F14" s="23"/>
      <c r="G14" s="23"/>
      <c r="H14" s="23">
        <v>500</v>
      </c>
      <c r="I14" s="27"/>
      <c r="J14" s="24">
        <f t="shared" si="1"/>
        <v>19676.2</v>
      </c>
      <c r="K14" s="24">
        <f t="shared" si="0"/>
        <v>27374.489999999998</v>
      </c>
    </row>
    <row r="15" spans="2:11" x14ac:dyDescent="0.25">
      <c r="B15" s="31">
        <v>42707</v>
      </c>
      <c r="C15" s="21" t="s">
        <v>1270</v>
      </c>
      <c r="D15" s="23"/>
      <c r="E15" s="23"/>
      <c r="F15" s="23"/>
      <c r="G15" s="23"/>
      <c r="H15" s="92">
        <v>132</v>
      </c>
      <c r="I15" s="27"/>
      <c r="J15" s="24">
        <f>+J14+E15-G15</f>
        <v>19676.2</v>
      </c>
      <c r="K15" s="24">
        <f t="shared" si="0"/>
        <v>27242.489999999998</v>
      </c>
    </row>
    <row r="16" spans="2:11" x14ac:dyDescent="0.25">
      <c r="B16" s="31">
        <v>42708</v>
      </c>
      <c r="C16" s="21" t="s">
        <v>1271</v>
      </c>
      <c r="D16" s="23"/>
      <c r="E16" s="23"/>
      <c r="F16" s="23"/>
      <c r="G16" s="23"/>
      <c r="H16" s="23">
        <v>150</v>
      </c>
      <c r="I16" s="27"/>
      <c r="J16" s="24">
        <f t="shared" si="1"/>
        <v>19676.2</v>
      </c>
      <c r="K16" s="24">
        <f t="shared" si="0"/>
        <v>27092.489999999998</v>
      </c>
    </row>
    <row r="17" spans="2:11" x14ac:dyDescent="0.25">
      <c r="B17" s="31">
        <v>42708</v>
      </c>
      <c r="C17" s="21" t="s">
        <v>1272</v>
      </c>
      <c r="D17" s="23"/>
      <c r="E17" s="23"/>
      <c r="F17" s="23"/>
      <c r="G17" s="23"/>
      <c r="H17" s="23">
        <v>120</v>
      </c>
      <c r="I17" s="27"/>
      <c r="J17" s="24">
        <f t="shared" si="1"/>
        <v>19676.2</v>
      </c>
      <c r="K17" s="24">
        <f t="shared" si="0"/>
        <v>26972.489999999998</v>
      </c>
    </row>
    <row r="18" spans="2:11" x14ac:dyDescent="0.25">
      <c r="B18" s="31">
        <v>42708</v>
      </c>
      <c r="C18" s="21" t="s">
        <v>1273</v>
      </c>
      <c r="D18" s="23"/>
      <c r="E18" s="23"/>
      <c r="F18" s="23"/>
      <c r="G18" s="23"/>
      <c r="H18" s="23">
        <v>615</v>
      </c>
      <c r="I18" s="27"/>
      <c r="J18" s="24">
        <f t="shared" si="1"/>
        <v>19676.2</v>
      </c>
      <c r="K18" s="24">
        <f t="shared" si="0"/>
        <v>26357.489999999998</v>
      </c>
    </row>
    <row r="19" spans="2:11" x14ac:dyDescent="0.25">
      <c r="B19" s="31">
        <v>42708</v>
      </c>
      <c r="C19" s="21" t="s">
        <v>1274</v>
      </c>
      <c r="D19" s="23"/>
      <c r="E19" s="23"/>
      <c r="F19" s="23"/>
      <c r="G19" s="23"/>
      <c r="H19" s="23">
        <v>385</v>
      </c>
      <c r="I19" s="27"/>
      <c r="J19" s="24">
        <f t="shared" si="1"/>
        <v>19676.2</v>
      </c>
      <c r="K19" s="24">
        <f t="shared" si="0"/>
        <v>25972.489999999998</v>
      </c>
    </row>
    <row r="20" spans="2:11" x14ac:dyDescent="0.25">
      <c r="B20" s="31">
        <v>42708</v>
      </c>
      <c r="C20" s="21" t="s">
        <v>1275</v>
      </c>
      <c r="D20" s="23"/>
      <c r="E20" s="23"/>
      <c r="F20" s="23"/>
      <c r="G20" s="23"/>
      <c r="H20" s="23">
        <v>192</v>
      </c>
      <c r="I20" s="27"/>
      <c r="J20" s="24">
        <f t="shared" si="1"/>
        <v>19676.2</v>
      </c>
      <c r="K20" s="24">
        <f t="shared" si="0"/>
        <v>25780.489999999998</v>
      </c>
    </row>
    <row r="21" spans="2:11" x14ac:dyDescent="0.25">
      <c r="B21" s="31">
        <v>42709</v>
      </c>
      <c r="C21" s="21" t="s">
        <v>1276</v>
      </c>
      <c r="D21" s="23"/>
      <c r="E21" s="23"/>
      <c r="F21" s="23"/>
      <c r="G21" s="23"/>
      <c r="H21" s="23">
        <v>400</v>
      </c>
      <c r="I21" s="27"/>
      <c r="J21" s="24">
        <f t="shared" si="1"/>
        <v>19676.2</v>
      </c>
      <c r="K21" s="24">
        <f t="shared" si="0"/>
        <v>25380.489999999998</v>
      </c>
    </row>
    <row r="22" spans="2:11" x14ac:dyDescent="0.25">
      <c r="B22" s="31">
        <v>42709</v>
      </c>
      <c r="C22" s="21" t="s">
        <v>1277</v>
      </c>
      <c r="D22" s="23"/>
      <c r="E22" s="23"/>
      <c r="F22" s="23"/>
      <c r="G22" s="23"/>
      <c r="H22" s="92">
        <v>45</v>
      </c>
      <c r="I22" s="27"/>
      <c r="J22" s="24">
        <f t="shared" si="1"/>
        <v>19676.2</v>
      </c>
      <c r="K22" s="24">
        <f t="shared" si="0"/>
        <v>25335.489999999998</v>
      </c>
    </row>
    <row r="23" spans="2:11" x14ac:dyDescent="0.25">
      <c r="B23" s="31">
        <v>42709</v>
      </c>
      <c r="C23" s="21" t="s">
        <v>1278</v>
      </c>
      <c r="D23" s="23"/>
      <c r="E23" s="23"/>
      <c r="F23" s="23"/>
      <c r="G23" s="23"/>
      <c r="H23" s="92">
        <v>175</v>
      </c>
      <c r="I23" s="27"/>
      <c r="J23" s="24">
        <f t="shared" si="1"/>
        <v>19676.2</v>
      </c>
      <c r="K23" s="24">
        <f t="shared" si="0"/>
        <v>25160.489999999998</v>
      </c>
    </row>
    <row r="24" spans="2:11" x14ac:dyDescent="0.25">
      <c r="B24" s="31">
        <v>42709</v>
      </c>
      <c r="C24" s="21" t="s">
        <v>1208</v>
      </c>
      <c r="D24" s="23"/>
      <c r="E24" s="23"/>
      <c r="F24" s="23"/>
      <c r="G24" s="23"/>
      <c r="H24" s="23">
        <v>398</v>
      </c>
      <c r="I24" s="27"/>
      <c r="J24" s="24">
        <f t="shared" si="1"/>
        <v>19676.2</v>
      </c>
      <c r="K24" s="24">
        <f t="shared" si="0"/>
        <v>24762.489999999998</v>
      </c>
    </row>
    <row r="25" spans="2:11" x14ac:dyDescent="0.25">
      <c r="B25" s="31">
        <v>42709</v>
      </c>
      <c r="C25" s="21" t="s">
        <v>1279</v>
      </c>
      <c r="D25" s="23"/>
      <c r="E25" s="23"/>
      <c r="F25" s="23"/>
      <c r="G25" s="23"/>
      <c r="H25" s="23">
        <v>900</v>
      </c>
      <c r="I25" s="27"/>
      <c r="J25" s="24">
        <f t="shared" si="1"/>
        <v>19676.2</v>
      </c>
      <c r="K25" s="24">
        <f t="shared" si="0"/>
        <v>23862.489999999998</v>
      </c>
    </row>
    <row r="26" spans="2:11" x14ac:dyDescent="0.25">
      <c r="B26" s="31">
        <v>42709</v>
      </c>
      <c r="C26" s="21" t="s">
        <v>1280</v>
      </c>
      <c r="D26" s="23"/>
      <c r="E26" s="23"/>
      <c r="F26" s="23"/>
      <c r="G26" s="23"/>
      <c r="H26" s="23">
        <v>350</v>
      </c>
      <c r="I26" s="27"/>
      <c r="J26" s="24">
        <f t="shared" si="1"/>
        <v>19676.2</v>
      </c>
      <c r="K26" s="24">
        <f t="shared" si="0"/>
        <v>23512.489999999998</v>
      </c>
    </row>
    <row r="27" spans="2:11" x14ac:dyDescent="0.25">
      <c r="B27" s="31">
        <v>42709</v>
      </c>
      <c r="C27" s="21" t="s">
        <v>1281</v>
      </c>
      <c r="D27" s="23"/>
      <c r="E27" s="23"/>
      <c r="F27" s="23"/>
      <c r="G27" s="23"/>
      <c r="H27" s="23">
        <v>320</v>
      </c>
      <c r="I27" s="27"/>
      <c r="J27" s="24">
        <f t="shared" si="1"/>
        <v>19676.2</v>
      </c>
      <c r="K27" s="24">
        <f t="shared" si="0"/>
        <v>23192.489999999998</v>
      </c>
    </row>
    <row r="28" spans="2:11" x14ac:dyDescent="0.25">
      <c r="B28" s="31">
        <v>42709</v>
      </c>
      <c r="C28" s="21" t="s">
        <v>1282</v>
      </c>
      <c r="D28" s="23"/>
      <c r="E28" s="23"/>
      <c r="F28" s="23"/>
      <c r="G28" s="23"/>
      <c r="H28" s="23">
        <v>250</v>
      </c>
      <c r="I28" s="27"/>
      <c r="J28" s="24">
        <f t="shared" si="1"/>
        <v>19676.2</v>
      </c>
      <c r="K28" s="24">
        <f t="shared" si="0"/>
        <v>22942.489999999998</v>
      </c>
    </row>
    <row r="29" spans="2:11" x14ac:dyDescent="0.25">
      <c r="B29" s="31">
        <v>42709</v>
      </c>
      <c r="C29" s="21" t="s">
        <v>1284</v>
      </c>
      <c r="D29" s="23"/>
      <c r="E29" s="23"/>
      <c r="F29" s="23"/>
      <c r="G29" s="23"/>
      <c r="H29" s="23">
        <v>200</v>
      </c>
      <c r="I29" s="27"/>
      <c r="J29" s="24">
        <f t="shared" si="1"/>
        <v>19676.2</v>
      </c>
      <c r="K29" s="24">
        <f t="shared" si="0"/>
        <v>22742.489999999998</v>
      </c>
    </row>
    <row r="30" spans="2:11" x14ac:dyDescent="0.25">
      <c r="B30" s="31">
        <v>42709</v>
      </c>
      <c r="C30" s="21" t="s">
        <v>1283</v>
      </c>
      <c r="D30" s="23"/>
      <c r="E30" s="23"/>
      <c r="F30" s="23"/>
      <c r="G30" s="23"/>
      <c r="H30" s="23">
        <v>200</v>
      </c>
      <c r="I30" s="27"/>
      <c r="J30" s="24">
        <f t="shared" si="1"/>
        <v>19676.2</v>
      </c>
      <c r="K30" s="24">
        <f t="shared" si="0"/>
        <v>22542.489999999998</v>
      </c>
    </row>
    <row r="31" spans="2:11" x14ac:dyDescent="0.25">
      <c r="B31" s="31">
        <v>42710</v>
      </c>
      <c r="C31" s="62" t="s">
        <v>1287</v>
      </c>
      <c r="D31" s="23">
        <v>42675</v>
      </c>
      <c r="E31" s="23"/>
      <c r="F31" s="23"/>
      <c r="G31" s="23"/>
      <c r="H31" s="92"/>
      <c r="I31" s="27"/>
      <c r="J31" s="24">
        <f t="shared" si="1"/>
        <v>19676.2</v>
      </c>
      <c r="K31" s="24">
        <f t="shared" si="0"/>
        <v>65217.49</v>
      </c>
    </row>
    <row r="32" spans="2:11" x14ac:dyDescent="0.25">
      <c r="B32" s="31">
        <v>42711</v>
      </c>
      <c r="C32" s="61" t="s">
        <v>1285</v>
      </c>
      <c r="D32" s="23"/>
      <c r="E32" s="23"/>
      <c r="F32" s="23"/>
      <c r="G32" s="23">
        <v>2448</v>
      </c>
      <c r="H32" s="92"/>
      <c r="I32" s="27"/>
      <c r="J32" s="24">
        <f t="shared" si="1"/>
        <v>17228.2</v>
      </c>
      <c r="K32" s="24">
        <f t="shared" si="0"/>
        <v>65217.49</v>
      </c>
    </row>
    <row r="33" spans="2:11" x14ac:dyDescent="0.25">
      <c r="B33" s="31">
        <v>42711</v>
      </c>
      <c r="C33" s="62" t="s">
        <v>1286</v>
      </c>
      <c r="D33" s="73"/>
      <c r="E33" s="73"/>
      <c r="F33" s="73"/>
      <c r="G33" s="23">
        <v>1760</v>
      </c>
      <c r="H33" s="23"/>
      <c r="I33" s="27"/>
      <c r="J33" s="24">
        <f t="shared" si="1"/>
        <v>15468.2</v>
      </c>
      <c r="K33" s="24">
        <f t="shared" si="0"/>
        <v>65217.49</v>
      </c>
    </row>
    <row r="34" spans="2:11" x14ac:dyDescent="0.25">
      <c r="B34" s="31">
        <v>42711</v>
      </c>
      <c r="C34" s="21" t="s">
        <v>1288</v>
      </c>
      <c r="D34" s="23"/>
      <c r="E34" s="23"/>
      <c r="F34" s="23"/>
      <c r="G34" s="23"/>
      <c r="H34" s="23">
        <v>78</v>
      </c>
      <c r="I34" s="27"/>
      <c r="J34" s="24">
        <f t="shared" si="1"/>
        <v>15468.2</v>
      </c>
      <c r="K34" s="24">
        <f t="shared" si="0"/>
        <v>65139.49</v>
      </c>
    </row>
    <row r="35" spans="2:11" x14ac:dyDescent="0.25">
      <c r="B35" s="31">
        <v>42711</v>
      </c>
      <c r="C35" s="21" t="s">
        <v>1289</v>
      </c>
      <c r="D35" s="23"/>
      <c r="E35" s="23"/>
      <c r="F35" s="23"/>
      <c r="G35" s="23"/>
      <c r="H35" s="23">
        <v>522.1</v>
      </c>
      <c r="I35" s="27"/>
      <c r="J35" s="24">
        <f t="shared" si="1"/>
        <v>15468.2</v>
      </c>
      <c r="K35" s="24">
        <f t="shared" si="0"/>
        <v>64617.39</v>
      </c>
    </row>
    <row r="36" spans="2:11" x14ac:dyDescent="0.25">
      <c r="B36" s="31">
        <v>42711</v>
      </c>
      <c r="C36" s="21" t="s">
        <v>1290</v>
      </c>
      <c r="D36" s="23"/>
      <c r="E36" s="23"/>
      <c r="F36" s="23"/>
      <c r="G36" s="23"/>
      <c r="H36" s="23">
        <v>285</v>
      </c>
      <c r="I36" s="27"/>
      <c r="J36" s="24">
        <f t="shared" si="1"/>
        <v>15468.2</v>
      </c>
      <c r="K36" s="24">
        <f t="shared" si="0"/>
        <v>64332.39</v>
      </c>
    </row>
    <row r="37" spans="2:11" x14ac:dyDescent="0.25">
      <c r="B37" s="31">
        <v>42711</v>
      </c>
      <c r="C37" s="21" t="s">
        <v>1291</v>
      </c>
      <c r="D37" s="23"/>
      <c r="E37" s="23"/>
      <c r="F37" s="23"/>
      <c r="G37" s="23"/>
      <c r="H37" s="23">
        <v>400</v>
      </c>
      <c r="I37" s="27"/>
      <c r="J37" s="24">
        <f t="shared" si="1"/>
        <v>15468.2</v>
      </c>
      <c r="K37" s="24">
        <f t="shared" si="0"/>
        <v>63932.39</v>
      </c>
    </row>
    <row r="38" spans="2:11" x14ac:dyDescent="0.25">
      <c r="B38" s="31">
        <v>42712</v>
      </c>
      <c r="C38" s="21" t="s">
        <v>1292</v>
      </c>
      <c r="D38" s="23"/>
      <c r="E38" s="23"/>
      <c r="F38" s="23"/>
      <c r="G38" s="23"/>
      <c r="H38" s="23">
        <v>1400</v>
      </c>
      <c r="I38" s="27"/>
      <c r="J38" s="24">
        <f t="shared" si="1"/>
        <v>15468.2</v>
      </c>
      <c r="K38" s="24">
        <f t="shared" si="0"/>
        <v>62532.39</v>
      </c>
    </row>
    <row r="39" spans="2:11" x14ac:dyDescent="0.25">
      <c r="B39" s="31">
        <v>42712</v>
      </c>
      <c r="C39" s="21" t="s">
        <v>1292</v>
      </c>
      <c r="D39" s="23"/>
      <c r="E39" s="23"/>
      <c r="F39" s="23"/>
      <c r="G39" s="23"/>
      <c r="H39" s="23">
        <v>1400</v>
      </c>
      <c r="I39" s="27"/>
      <c r="J39" s="24">
        <f t="shared" si="1"/>
        <v>15468.2</v>
      </c>
      <c r="K39" s="24">
        <f t="shared" si="0"/>
        <v>61132.39</v>
      </c>
    </row>
    <row r="40" spans="2:11" x14ac:dyDescent="0.25">
      <c r="B40" s="31">
        <v>42712</v>
      </c>
      <c r="C40" s="21" t="s">
        <v>1293</v>
      </c>
      <c r="D40" s="23"/>
      <c r="E40" s="23"/>
      <c r="F40" s="23"/>
      <c r="G40" s="23"/>
      <c r="H40" s="23">
        <v>50</v>
      </c>
      <c r="I40" s="27"/>
      <c r="J40" s="24">
        <f t="shared" si="1"/>
        <v>15468.2</v>
      </c>
      <c r="K40" s="24">
        <f t="shared" si="0"/>
        <v>61082.39</v>
      </c>
    </row>
    <row r="41" spans="2:11" x14ac:dyDescent="0.25">
      <c r="B41" s="31">
        <v>42712</v>
      </c>
      <c r="C41" s="21" t="s">
        <v>1294</v>
      </c>
      <c r="D41" s="23"/>
      <c r="E41" s="23"/>
      <c r="F41" s="23"/>
      <c r="G41" s="23"/>
      <c r="H41" s="92">
        <v>1470</v>
      </c>
      <c r="I41" s="27"/>
      <c r="J41" s="24">
        <f t="shared" si="1"/>
        <v>15468.2</v>
      </c>
      <c r="K41" s="24">
        <f t="shared" si="0"/>
        <v>59612.39</v>
      </c>
    </row>
    <row r="42" spans="2:11" x14ac:dyDescent="0.25">
      <c r="B42" s="31">
        <v>42712</v>
      </c>
      <c r="C42" s="21" t="s">
        <v>1295</v>
      </c>
      <c r="D42" s="23"/>
      <c r="E42" s="23"/>
      <c r="F42" s="23"/>
      <c r="G42" s="23"/>
      <c r="H42" s="92">
        <v>60</v>
      </c>
      <c r="I42" s="27"/>
      <c r="J42" s="24">
        <f t="shared" si="1"/>
        <v>15468.2</v>
      </c>
      <c r="K42" s="24">
        <f t="shared" si="0"/>
        <v>59552.39</v>
      </c>
    </row>
    <row r="43" spans="2:11" x14ac:dyDescent="0.25">
      <c r="B43" s="31">
        <v>42713</v>
      </c>
      <c r="C43" s="21" t="s">
        <v>1296</v>
      </c>
      <c r="D43" s="23"/>
      <c r="E43" s="23"/>
      <c r="F43" s="23"/>
      <c r="G43" s="23"/>
      <c r="H43" s="92">
        <v>50</v>
      </c>
      <c r="I43" s="27"/>
      <c r="J43" s="24">
        <f t="shared" si="1"/>
        <v>15468.2</v>
      </c>
      <c r="K43" s="24">
        <f t="shared" si="0"/>
        <v>59502.39</v>
      </c>
    </row>
    <row r="44" spans="2:11" x14ac:dyDescent="0.25">
      <c r="B44" s="31">
        <v>42713</v>
      </c>
      <c r="C44" s="21" t="s">
        <v>1296</v>
      </c>
      <c r="D44" s="23"/>
      <c r="E44" s="23"/>
      <c r="F44" s="23"/>
      <c r="G44" s="23"/>
      <c r="H44" s="92">
        <v>80</v>
      </c>
      <c r="I44" s="27"/>
      <c r="J44" s="24">
        <f t="shared" si="1"/>
        <v>15468.2</v>
      </c>
      <c r="K44" s="24">
        <f t="shared" si="0"/>
        <v>59422.39</v>
      </c>
    </row>
    <row r="45" spans="2:11" x14ac:dyDescent="0.25">
      <c r="B45" s="31">
        <v>42713</v>
      </c>
      <c r="C45" s="25" t="s">
        <v>1297</v>
      </c>
      <c r="D45" s="73"/>
      <c r="E45" s="73"/>
      <c r="F45" s="73"/>
      <c r="G45" s="73"/>
      <c r="H45" s="23">
        <v>180</v>
      </c>
      <c r="I45" s="27"/>
      <c r="J45" s="24">
        <f t="shared" si="1"/>
        <v>15468.2</v>
      </c>
      <c r="K45" s="24">
        <f t="shared" si="0"/>
        <v>59242.39</v>
      </c>
    </row>
    <row r="46" spans="2:11" x14ac:dyDescent="0.25">
      <c r="B46" s="31">
        <v>42713</v>
      </c>
      <c r="C46" s="25" t="s">
        <v>1299</v>
      </c>
      <c r="D46" s="73"/>
      <c r="E46" s="73"/>
      <c r="F46" s="73"/>
      <c r="G46" s="28"/>
      <c r="H46" s="23">
        <v>228</v>
      </c>
      <c r="I46" s="27"/>
      <c r="J46" s="24">
        <f t="shared" si="1"/>
        <v>15468.2</v>
      </c>
      <c r="K46" s="24">
        <f t="shared" si="0"/>
        <v>59014.39</v>
      </c>
    </row>
    <row r="47" spans="2:11" x14ac:dyDescent="0.25">
      <c r="B47" s="31">
        <v>42713</v>
      </c>
      <c r="C47" s="25" t="s">
        <v>1298</v>
      </c>
      <c r="D47" s="73"/>
      <c r="E47" s="73"/>
      <c r="F47" s="73"/>
      <c r="G47" s="73"/>
      <c r="H47" s="23">
        <v>264</v>
      </c>
      <c r="I47" s="27"/>
      <c r="J47" s="24">
        <f t="shared" si="1"/>
        <v>15468.2</v>
      </c>
      <c r="K47" s="24">
        <f t="shared" si="0"/>
        <v>58750.39</v>
      </c>
    </row>
    <row r="48" spans="2:11" x14ac:dyDescent="0.25">
      <c r="B48" s="31">
        <v>42713</v>
      </c>
      <c r="C48" s="25" t="s">
        <v>1300</v>
      </c>
      <c r="D48" s="23"/>
      <c r="E48" s="23"/>
      <c r="F48" s="23"/>
      <c r="G48" s="23"/>
      <c r="H48" s="23">
        <v>60</v>
      </c>
      <c r="I48" s="27"/>
      <c r="J48" s="24">
        <f t="shared" si="1"/>
        <v>15468.2</v>
      </c>
      <c r="K48" s="24">
        <f t="shared" si="0"/>
        <v>58690.39</v>
      </c>
    </row>
    <row r="49" spans="2:11" x14ac:dyDescent="0.25">
      <c r="B49" s="31">
        <v>42713</v>
      </c>
      <c r="C49" s="25" t="s">
        <v>1301</v>
      </c>
      <c r="D49" s="23"/>
      <c r="E49" s="23"/>
      <c r="F49" s="23"/>
      <c r="G49" s="23"/>
      <c r="H49" s="23">
        <v>125.55</v>
      </c>
      <c r="I49" s="27"/>
      <c r="J49" s="24">
        <f t="shared" si="1"/>
        <v>15468.2</v>
      </c>
      <c r="K49" s="24">
        <f t="shared" si="0"/>
        <v>58564.84</v>
      </c>
    </row>
    <row r="50" spans="2:11" x14ac:dyDescent="0.25">
      <c r="B50" s="31">
        <v>42713</v>
      </c>
      <c r="C50" s="25" t="s">
        <v>1302</v>
      </c>
      <c r="D50" s="23"/>
      <c r="E50" s="23"/>
      <c r="F50" s="23"/>
      <c r="G50" s="23"/>
      <c r="H50" s="23">
        <v>2350</v>
      </c>
      <c r="I50" s="27"/>
      <c r="J50" s="24">
        <f t="shared" si="1"/>
        <v>15468.2</v>
      </c>
      <c r="K50" s="24">
        <f t="shared" si="0"/>
        <v>56214.84</v>
      </c>
    </row>
    <row r="51" spans="2:11" x14ac:dyDescent="0.25">
      <c r="B51" s="31">
        <v>42713</v>
      </c>
      <c r="C51" s="21" t="s">
        <v>1303</v>
      </c>
      <c r="D51" s="23"/>
      <c r="E51" s="23"/>
      <c r="F51" s="23"/>
      <c r="G51" s="23"/>
      <c r="H51" s="23">
        <v>420</v>
      </c>
      <c r="I51" s="27"/>
      <c r="J51" s="24">
        <f>+J50+E51-G51</f>
        <v>15468.2</v>
      </c>
      <c r="K51" s="24">
        <f t="shared" si="0"/>
        <v>55794.84</v>
      </c>
    </row>
    <row r="52" spans="2:11" x14ac:dyDescent="0.25">
      <c r="B52" s="31">
        <v>42714</v>
      </c>
      <c r="C52" s="21" t="s">
        <v>1304</v>
      </c>
      <c r="D52" s="23"/>
      <c r="E52" s="23"/>
      <c r="F52" s="23"/>
      <c r="G52" s="23"/>
      <c r="H52" s="23">
        <v>835</v>
      </c>
      <c r="I52" s="27"/>
      <c r="J52" s="24">
        <f t="shared" si="1"/>
        <v>15468.2</v>
      </c>
      <c r="K52" s="24">
        <f t="shared" si="0"/>
        <v>54959.839999999997</v>
      </c>
    </row>
    <row r="53" spans="2:11" x14ac:dyDescent="0.25">
      <c r="B53" s="31">
        <v>42714</v>
      </c>
      <c r="C53" s="25" t="s">
        <v>1305</v>
      </c>
      <c r="D53" s="73"/>
      <c r="E53" s="73"/>
      <c r="F53" s="73"/>
      <c r="G53" s="73"/>
      <c r="H53" s="23">
        <v>56</v>
      </c>
      <c r="I53" s="27"/>
      <c r="J53" s="24">
        <f t="shared" si="1"/>
        <v>15468.2</v>
      </c>
      <c r="K53" s="24">
        <f t="shared" si="0"/>
        <v>54903.839999999997</v>
      </c>
    </row>
    <row r="54" spans="2:11" ht="15.75" thickBot="1" x14ac:dyDescent="0.3">
      <c r="B54" s="31">
        <v>42714</v>
      </c>
      <c r="C54" s="21" t="s">
        <v>1306</v>
      </c>
      <c r="D54" s="23"/>
      <c r="E54" s="23"/>
      <c r="F54" s="23"/>
      <c r="G54" s="23"/>
      <c r="H54" s="92">
        <v>1000</v>
      </c>
      <c r="I54" s="27"/>
      <c r="J54" s="24">
        <f t="shared" si="1"/>
        <v>15468.2</v>
      </c>
      <c r="K54" s="24">
        <f t="shared" si="0"/>
        <v>53903.839999999997</v>
      </c>
    </row>
    <row r="55" spans="2:11" ht="15.75" thickBot="1" x14ac:dyDescent="0.3">
      <c r="B55" s="13"/>
      <c r="C55" s="16" t="s">
        <v>0</v>
      </c>
      <c r="D55" s="105">
        <f>SUM(D4:D54)</f>
        <v>42675</v>
      </c>
      <c r="E55" s="103">
        <f>SUM(E4:E47)</f>
        <v>0</v>
      </c>
      <c r="F55" s="114">
        <f>SUM(D55:E55)</f>
        <v>42675</v>
      </c>
      <c r="G55" s="126">
        <f>SUM(G4:G47)</f>
        <v>4943</v>
      </c>
      <c r="H55" s="105">
        <f>SUM(H4:H54)</f>
        <v>19180.05</v>
      </c>
      <c r="I55" s="114">
        <f>SUM(G55:H55)</f>
        <v>24123.05</v>
      </c>
      <c r="J55" s="33"/>
      <c r="K55" s="33"/>
    </row>
    <row r="56" spans="2:11" x14ac:dyDescent="0.25">
      <c r="B56" s="111" t="s">
        <v>1</v>
      </c>
      <c r="C56" s="111" t="s">
        <v>2</v>
      </c>
      <c r="D56" s="111" t="s">
        <v>3</v>
      </c>
      <c r="E56" s="111" t="s">
        <v>3</v>
      </c>
      <c r="F56" s="111" t="s">
        <v>323</v>
      </c>
      <c r="G56" s="111" t="s">
        <v>324</v>
      </c>
      <c r="H56" s="81" t="s">
        <v>324</v>
      </c>
      <c r="I56" s="81" t="s">
        <v>323</v>
      </c>
      <c r="J56" s="111" t="s">
        <v>174</v>
      </c>
      <c r="K56" s="81" t="s">
        <v>173</v>
      </c>
    </row>
    <row r="57" spans="2:11" ht="15.75" thickBot="1" x14ac:dyDescent="0.3">
      <c r="B57" s="112"/>
      <c r="C57" s="112"/>
      <c r="D57" s="112" t="s">
        <v>6</v>
      </c>
      <c r="E57" s="112" t="s">
        <v>325</v>
      </c>
      <c r="F57" s="112" t="s">
        <v>3</v>
      </c>
      <c r="G57" s="112" t="s">
        <v>325</v>
      </c>
      <c r="H57" s="113" t="s">
        <v>6</v>
      </c>
      <c r="I57" s="113" t="s">
        <v>5</v>
      </c>
      <c r="J57" s="112"/>
      <c r="K57" s="113"/>
    </row>
    <row r="58" spans="2:11" ht="15.75" thickBot="1" x14ac:dyDescent="0.3">
      <c r="B58" s="13"/>
      <c r="C58" s="16"/>
      <c r="D58" s="105">
        <v>42675</v>
      </c>
      <c r="E58" s="103">
        <v>0</v>
      </c>
      <c r="F58" s="114">
        <v>42675</v>
      </c>
      <c r="G58" s="126">
        <v>4943</v>
      </c>
      <c r="H58" s="105">
        <v>19180.05</v>
      </c>
      <c r="I58" s="114">
        <f>SUM(G58+H58)</f>
        <v>24123.05</v>
      </c>
      <c r="J58" s="33">
        <v>15468.2</v>
      </c>
      <c r="K58" s="24">
        <v>53903.839999999997</v>
      </c>
    </row>
    <row r="59" spans="2:11" x14ac:dyDescent="0.25">
      <c r="B59" s="31">
        <v>42714</v>
      </c>
      <c r="C59" s="21" t="s">
        <v>1307</v>
      </c>
      <c r="D59" s="23"/>
      <c r="E59" s="23"/>
      <c r="F59" s="23"/>
      <c r="G59" s="23"/>
      <c r="H59" s="92">
        <v>150</v>
      </c>
      <c r="I59" s="27"/>
      <c r="J59" s="24">
        <f>+J58+E59-G59</f>
        <v>15468.2</v>
      </c>
      <c r="K59" s="24">
        <f>+K58+D59-H59</f>
        <v>53753.84</v>
      </c>
    </row>
    <row r="60" spans="2:11" x14ac:dyDescent="0.25">
      <c r="B60" s="31">
        <v>42714</v>
      </c>
      <c r="C60" s="21" t="s">
        <v>1308</v>
      </c>
      <c r="D60" s="23"/>
      <c r="E60" s="23"/>
      <c r="F60" s="23"/>
      <c r="G60" s="23"/>
      <c r="H60" s="92">
        <v>449</v>
      </c>
      <c r="I60" s="27"/>
      <c r="J60" s="24">
        <f t="shared" ref="J60:J68" si="2">+J59+E60-G60</f>
        <v>15468.2</v>
      </c>
      <c r="K60" s="24">
        <f t="shared" ref="K60:K68" si="3">+K59+D60-H60</f>
        <v>53304.84</v>
      </c>
    </row>
    <row r="61" spans="2:11" x14ac:dyDescent="0.25">
      <c r="B61" s="31">
        <v>42714</v>
      </c>
      <c r="C61" s="21" t="s">
        <v>1309</v>
      </c>
      <c r="D61" s="23"/>
      <c r="E61" s="23"/>
      <c r="F61" s="23"/>
      <c r="G61" s="23"/>
      <c r="H61" s="92">
        <v>200</v>
      </c>
      <c r="I61" s="27"/>
      <c r="J61" s="24">
        <f t="shared" si="2"/>
        <v>15468.2</v>
      </c>
      <c r="K61" s="24">
        <f t="shared" si="3"/>
        <v>53104.84</v>
      </c>
    </row>
    <row r="62" spans="2:11" x14ac:dyDescent="0.25">
      <c r="B62" s="31">
        <v>42714</v>
      </c>
      <c r="C62" s="25" t="s">
        <v>1310</v>
      </c>
      <c r="D62" s="23"/>
      <c r="E62" s="23"/>
      <c r="F62" s="23"/>
      <c r="G62" s="23"/>
      <c r="H62" s="23">
        <v>190</v>
      </c>
      <c r="I62" s="27"/>
      <c r="J62" s="24">
        <f t="shared" si="2"/>
        <v>15468.2</v>
      </c>
      <c r="K62" s="24">
        <f t="shared" si="3"/>
        <v>52914.84</v>
      </c>
    </row>
    <row r="63" spans="2:11" x14ac:dyDescent="0.25">
      <c r="B63" s="31">
        <v>42714</v>
      </c>
      <c r="C63" s="25" t="s">
        <v>1311</v>
      </c>
      <c r="D63" s="23"/>
      <c r="E63" s="23"/>
      <c r="F63" s="23"/>
      <c r="G63" s="23"/>
      <c r="H63" s="23">
        <v>26470.23</v>
      </c>
      <c r="I63" s="27"/>
      <c r="J63" s="24">
        <f t="shared" si="2"/>
        <v>15468.2</v>
      </c>
      <c r="K63" s="24">
        <f t="shared" si="3"/>
        <v>26444.609999999997</v>
      </c>
    </row>
    <row r="64" spans="2:11" x14ac:dyDescent="0.25">
      <c r="B64" s="31">
        <v>42714</v>
      </c>
      <c r="C64" s="25" t="s">
        <v>1312</v>
      </c>
      <c r="D64" s="23"/>
      <c r="E64" s="23"/>
      <c r="F64" s="23"/>
      <c r="G64" s="23"/>
      <c r="H64" s="23">
        <v>500</v>
      </c>
      <c r="I64" s="27"/>
      <c r="J64" s="24">
        <f t="shared" si="2"/>
        <v>15468.2</v>
      </c>
      <c r="K64" s="24">
        <f t="shared" si="3"/>
        <v>25944.609999999997</v>
      </c>
    </row>
    <row r="65" spans="2:11" x14ac:dyDescent="0.25">
      <c r="B65" s="31">
        <v>42714</v>
      </c>
      <c r="C65" s="25" t="s">
        <v>1313</v>
      </c>
      <c r="D65" s="23"/>
      <c r="E65" s="23"/>
      <c r="F65" s="23"/>
      <c r="G65" s="23"/>
      <c r="H65" s="23">
        <v>300</v>
      </c>
      <c r="I65" s="27"/>
      <c r="J65" s="24">
        <f t="shared" si="2"/>
        <v>15468.2</v>
      </c>
      <c r="K65" s="24">
        <f t="shared" si="3"/>
        <v>25644.609999999997</v>
      </c>
    </row>
    <row r="66" spans="2:11" x14ac:dyDescent="0.25">
      <c r="B66" s="31">
        <v>42714</v>
      </c>
      <c r="C66" s="25" t="s">
        <v>1314</v>
      </c>
      <c r="D66" s="23"/>
      <c r="E66" s="23"/>
      <c r="F66" s="23"/>
      <c r="G66" s="23"/>
      <c r="H66" s="23">
        <v>500</v>
      </c>
      <c r="I66" s="27"/>
      <c r="J66" s="24">
        <f t="shared" si="2"/>
        <v>15468.2</v>
      </c>
      <c r="K66" s="24">
        <f t="shared" si="3"/>
        <v>25144.609999999997</v>
      </c>
    </row>
    <row r="67" spans="2:11" x14ac:dyDescent="0.25">
      <c r="B67" s="31">
        <v>42714</v>
      </c>
      <c r="C67" s="25" t="s">
        <v>1315</v>
      </c>
      <c r="D67" s="23"/>
      <c r="E67" s="23"/>
      <c r="F67" s="23"/>
      <c r="G67" s="23"/>
      <c r="H67" s="23">
        <v>250</v>
      </c>
      <c r="I67" s="27"/>
      <c r="J67" s="24">
        <f t="shared" si="2"/>
        <v>15468.2</v>
      </c>
      <c r="K67" s="24">
        <f t="shared" si="3"/>
        <v>24894.609999999997</v>
      </c>
    </row>
    <row r="68" spans="2:11" x14ac:dyDescent="0.25">
      <c r="B68" s="31">
        <v>42714</v>
      </c>
      <c r="C68" s="25" t="s">
        <v>1316</v>
      </c>
      <c r="D68" s="23"/>
      <c r="E68" s="23"/>
      <c r="F68" s="23"/>
      <c r="G68" s="23"/>
      <c r="H68" s="23">
        <v>400</v>
      </c>
      <c r="I68" s="27"/>
      <c r="J68" s="24">
        <f t="shared" si="2"/>
        <v>15468.2</v>
      </c>
      <c r="K68" s="24">
        <f t="shared" si="3"/>
        <v>24494.609999999997</v>
      </c>
    </row>
    <row r="69" spans="2:11" x14ac:dyDescent="0.25">
      <c r="B69" s="31">
        <v>42716</v>
      </c>
      <c r="C69" s="25" t="s">
        <v>1335</v>
      </c>
      <c r="D69" s="23">
        <v>25400</v>
      </c>
      <c r="E69" s="23"/>
      <c r="F69" s="23"/>
      <c r="G69" s="23"/>
      <c r="H69" s="23"/>
      <c r="I69" s="27"/>
      <c r="J69" s="24">
        <f t="shared" ref="J69:J78" si="4">+J68+E69-G69</f>
        <v>15468.2</v>
      </c>
      <c r="K69" s="24">
        <f t="shared" ref="K69:K78" si="5">+K68+D69-H69</f>
        <v>49894.61</v>
      </c>
    </row>
    <row r="70" spans="2:11" x14ac:dyDescent="0.25">
      <c r="B70" s="31">
        <v>42715</v>
      </c>
      <c r="C70" s="25" t="s">
        <v>1317</v>
      </c>
      <c r="D70" s="23"/>
      <c r="E70" s="23"/>
      <c r="F70" s="23"/>
      <c r="G70" s="23"/>
      <c r="H70" s="23">
        <v>500</v>
      </c>
      <c r="I70" s="27"/>
      <c r="J70" s="24">
        <f t="shared" si="4"/>
        <v>15468.2</v>
      </c>
      <c r="K70" s="24">
        <f t="shared" si="5"/>
        <v>49394.61</v>
      </c>
    </row>
    <row r="71" spans="2:11" x14ac:dyDescent="0.25">
      <c r="B71" s="31">
        <v>42715</v>
      </c>
      <c r="C71" s="62" t="s">
        <v>1318</v>
      </c>
      <c r="D71" s="23"/>
      <c r="E71" s="23"/>
      <c r="F71" s="23"/>
      <c r="G71" s="23"/>
      <c r="H71" s="23">
        <v>91</v>
      </c>
      <c r="I71" s="27"/>
      <c r="J71" s="24">
        <f t="shared" si="4"/>
        <v>15468.2</v>
      </c>
      <c r="K71" s="24">
        <f t="shared" si="5"/>
        <v>49303.61</v>
      </c>
    </row>
    <row r="72" spans="2:11" x14ac:dyDescent="0.25">
      <c r="B72" s="31">
        <v>42715</v>
      </c>
      <c r="C72" s="60" t="s">
        <v>1319</v>
      </c>
      <c r="D72" s="23"/>
      <c r="E72" s="23"/>
      <c r="F72" s="23"/>
      <c r="G72" s="23"/>
      <c r="H72" s="23">
        <v>120</v>
      </c>
      <c r="I72" s="27"/>
      <c r="J72" s="24">
        <f t="shared" si="4"/>
        <v>15468.2</v>
      </c>
      <c r="K72" s="24">
        <f t="shared" si="5"/>
        <v>49183.61</v>
      </c>
    </row>
    <row r="73" spans="2:11" x14ac:dyDescent="0.25">
      <c r="B73" s="31">
        <v>42715</v>
      </c>
      <c r="C73" s="21" t="s">
        <v>1320</v>
      </c>
      <c r="D73" s="23"/>
      <c r="E73" s="23"/>
      <c r="F73" s="23"/>
      <c r="G73" s="23"/>
      <c r="H73" s="23">
        <v>150</v>
      </c>
      <c r="I73" s="27"/>
      <c r="J73" s="24">
        <f t="shared" si="4"/>
        <v>15468.2</v>
      </c>
      <c r="K73" s="24">
        <f t="shared" si="5"/>
        <v>49033.61</v>
      </c>
    </row>
    <row r="74" spans="2:11" x14ac:dyDescent="0.25">
      <c r="B74" s="31">
        <v>42715</v>
      </c>
      <c r="C74" s="21" t="s">
        <v>1321</v>
      </c>
      <c r="D74" s="23"/>
      <c r="E74" s="23"/>
      <c r="F74" s="23"/>
      <c r="G74" s="23"/>
      <c r="H74" s="23">
        <v>279.60000000000002</v>
      </c>
      <c r="I74" s="27"/>
      <c r="J74" s="24">
        <f t="shared" si="4"/>
        <v>15468.2</v>
      </c>
      <c r="K74" s="24">
        <f t="shared" si="5"/>
        <v>48754.01</v>
      </c>
    </row>
    <row r="75" spans="2:11" x14ac:dyDescent="0.25">
      <c r="B75" s="31">
        <v>42716</v>
      </c>
      <c r="C75" s="21" t="s">
        <v>1322</v>
      </c>
      <c r="D75" s="23"/>
      <c r="E75" s="23"/>
      <c r="F75" s="23"/>
      <c r="G75" s="23"/>
      <c r="H75" s="23">
        <v>400</v>
      </c>
      <c r="I75" s="27"/>
      <c r="J75" s="24">
        <f t="shared" si="4"/>
        <v>15468.2</v>
      </c>
      <c r="K75" s="24">
        <f t="shared" si="5"/>
        <v>48354.01</v>
      </c>
    </row>
    <row r="76" spans="2:11" x14ac:dyDescent="0.25">
      <c r="B76" s="31">
        <v>42717</v>
      </c>
      <c r="C76" s="62" t="s">
        <v>1323</v>
      </c>
      <c r="D76" s="23"/>
      <c r="E76" s="23"/>
      <c r="F76" s="23"/>
      <c r="G76" s="23"/>
      <c r="H76" s="23">
        <v>41</v>
      </c>
      <c r="I76" s="27"/>
      <c r="J76" s="24">
        <f t="shared" si="4"/>
        <v>15468.2</v>
      </c>
      <c r="K76" s="24">
        <f t="shared" si="5"/>
        <v>48313.01</v>
      </c>
    </row>
    <row r="77" spans="2:11" x14ac:dyDescent="0.25">
      <c r="B77" s="31">
        <v>42717</v>
      </c>
      <c r="C77" s="60" t="s">
        <v>1324</v>
      </c>
      <c r="D77" s="23"/>
      <c r="E77" s="23"/>
      <c r="F77" s="23"/>
      <c r="G77" s="23"/>
      <c r="H77" s="23">
        <v>136</v>
      </c>
      <c r="I77" s="27"/>
      <c r="J77" s="24">
        <f t="shared" si="4"/>
        <v>15468.2</v>
      </c>
      <c r="K77" s="24">
        <f t="shared" si="5"/>
        <v>48177.01</v>
      </c>
    </row>
    <row r="78" spans="2:11" x14ac:dyDescent="0.25">
      <c r="B78" s="31">
        <v>42717</v>
      </c>
      <c r="C78" s="62" t="s">
        <v>1325</v>
      </c>
      <c r="D78" s="23"/>
      <c r="E78" s="23"/>
      <c r="F78" s="23"/>
      <c r="G78" s="23"/>
      <c r="H78" s="23">
        <v>500</v>
      </c>
      <c r="I78" s="27"/>
      <c r="J78" s="24">
        <f t="shared" si="4"/>
        <v>15468.2</v>
      </c>
      <c r="K78" s="24">
        <f t="shared" si="5"/>
        <v>47677.01</v>
      </c>
    </row>
    <row r="79" spans="2:11" x14ac:dyDescent="0.25">
      <c r="B79" s="31">
        <v>42718</v>
      </c>
      <c r="C79" s="25" t="s">
        <v>1336</v>
      </c>
      <c r="D79" s="73"/>
      <c r="E79" s="73"/>
      <c r="F79" s="73"/>
      <c r="G79" s="28"/>
      <c r="H79" s="23">
        <v>786</v>
      </c>
      <c r="I79" s="27"/>
      <c r="J79" s="24">
        <f t="shared" ref="J79:J88" si="6">+J78+E79-G79</f>
        <v>15468.2</v>
      </c>
      <c r="K79" s="24">
        <f t="shared" ref="K79:K88" si="7">+K78+D79-H79</f>
        <v>46891.01</v>
      </c>
    </row>
    <row r="80" spans="2:11" x14ac:dyDescent="0.25">
      <c r="B80" s="31">
        <v>42718</v>
      </c>
      <c r="C80" s="60" t="s">
        <v>1326</v>
      </c>
      <c r="D80" s="23"/>
      <c r="E80" s="23"/>
      <c r="F80" s="23"/>
      <c r="G80" s="23"/>
      <c r="H80" s="23">
        <v>117</v>
      </c>
      <c r="I80" s="27"/>
      <c r="J80" s="24">
        <f t="shared" si="6"/>
        <v>15468.2</v>
      </c>
      <c r="K80" s="24">
        <f t="shared" si="7"/>
        <v>46774.01</v>
      </c>
    </row>
    <row r="81" spans="1:11" x14ac:dyDescent="0.25">
      <c r="B81" s="31">
        <v>42719</v>
      </c>
      <c r="C81" s="25" t="s">
        <v>1337</v>
      </c>
      <c r="D81" s="23"/>
      <c r="E81" s="23"/>
      <c r="F81" s="23"/>
      <c r="G81" s="23"/>
      <c r="H81" s="23">
        <v>350</v>
      </c>
      <c r="I81" s="27"/>
      <c r="J81" s="24">
        <f t="shared" si="6"/>
        <v>15468.2</v>
      </c>
      <c r="K81" s="24">
        <f t="shared" si="7"/>
        <v>46424.01</v>
      </c>
    </row>
    <row r="82" spans="1:11" x14ac:dyDescent="0.25">
      <c r="B82" s="31">
        <v>42719</v>
      </c>
      <c r="C82" s="25" t="s">
        <v>1327</v>
      </c>
      <c r="D82" s="23"/>
      <c r="E82" s="23"/>
      <c r="F82" s="23"/>
      <c r="G82" s="23"/>
      <c r="H82" s="23">
        <v>450</v>
      </c>
      <c r="I82" s="27"/>
      <c r="J82" s="24">
        <f t="shared" si="6"/>
        <v>15468.2</v>
      </c>
      <c r="K82" s="24">
        <f t="shared" si="7"/>
        <v>45974.01</v>
      </c>
    </row>
    <row r="83" spans="1:11" x14ac:dyDescent="0.25">
      <c r="B83" s="31">
        <v>42719</v>
      </c>
      <c r="C83" s="21" t="s">
        <v>1328</v>
      </c>
      <c r="D83" s="23"/>
      <c r="E83" s="23"/>
      <c r="F83" s="23"/>
      <c r="G83" s="23"/>
      <c r="H83" s="23">
        <v>450</v>
      </c>
      <c r="I83" s="27"/>
      <c r="J83" s="24">
        <f t="shared" si="6"/>
        <v>15468.2</v>
      </c>
      <c r="K83" s="24">
        <f t="shared" si="7"/>
        <v>45524.01</v>
      </c>
    </row>
    <row r="84" spans="1:11" x14ac:dyDescent="0.25">
      <c r="B84" s="31">
        <v>42719</v>
      </c>
      <c r="C84" s="21" t="s">
        <v>1329</v>
      </c>
      <c r="D84" s="23"/>
      <c r="E84" s="23"/>
      <c r="F84" s="23"/>
      <c r="G84" s="23"/>
      <c r="H84" s="23">
        <v>200</v>
      </c>
      <c r="I84" s="27"/>
      <c r="J84" s="24">
        <f t="shared" si="6"/>
        <v>15468.2</v>
      </c>
      <c r="K84" s="24">
        <f t="shared" si="7"/>
        <v>45324.01</v>
      </c>
    </row>
    <row r="85" spans="1:11" x14ac:dyDescent="0.25">
      <c r="B85" s="31">
        <v>42719</v>
      </c>
      <c r="C85" s="21" t="s">
        <v>1330</v>
      </c>
      <c r="D85" s="23"/>
      <c r="E85" s="23"/>
      <c r="F85" s="23"/>
      <c r="G85" s="23"/>
      <c r="H85" s="23">
        <v>200</v>
      </c>
      <c r="I85" s="27"/>
      <c r="J85" s="24">
        <f t="shared" si="6"/>
        <v>15468.2</v>
      </c>
      <c r="K85" s="24">
        <f t="shared" si="7"/>
        <v>45124.01</v>
      </c>
    </row>
    <row r="86" spans="1:11" x14ac:dyDescent="0.25">
      <c r="B86" s="31">
        <v>42719</v>
      </c>
      <c r="C86" s="60" t="s">
        <v>1331</v>
      </c>
      <c r="D86" s="23"/>
      <c r="E86" s="23"/>
      <c r="F86" s="23"/>
      <c r="G86" s="23"/>
      <c r="H86" s="23">
        <v>173.9</v>
      </c>
      <c r="I86" s="27"/>
      <c r="J86" s="24">
        <f t="shared" si="6"/>
        <v>15468.2</v>
      </c>
      <c r="K86" s="24">
        <f t="shared" si="7"/>
        <v>44950.11</v>
      </c>
    </row>
    <row r="87" spans="1:11" x14ac:dyDescent="0.25">
      <c r="B87" s="31">
        <v>42719</v>
      </c>
      <c r="C87" s="62" t="s">
        <v>1332</v>
      </c>
      <c r="D87" s="23"/>
      <c r="E87" s="23"/>
      <c r="F87" s="23"/>
      <c r="G87" s="23"/>
      <c r="H87" s="23">
        <v>200</v>
      </c>
      <c r="I87" s="27"/>
      <c r="J87" s="24">
        <f t="shared" si="6"/>
        <v>15468.2</v>
      </c>
      <c r="K87" s="24">
        <f t="shared" si="7"/>
        <v>44750.11</v>
      </c>
    </row>
    <row r="88" spans="1:11" x14ac:dyDescent="0.25">
      <c r="B88" s="31">
        <v>42719</v>
      </c>
      <c r="C88" s="21" t="s">
        <v>1333</v>
      </c>
      <c r="D88" s="23"/>
      <c r="E88" s="23"/>
      <c r="F88" s="23"/>
      <c r="G88" s="23">
        <v>14500</v>
      </c>
      <c r="H88" s="23"/>
      <c r="I88" s="27"/>
      <c r="J88" s="24">
        <f t="shared" si="6"/>
        <v>968.20000000000073</v>
      </c>
      <c r="K88" s="24">
        <f t="shared" si="7"/>
        <v>44750.11</v>
      </c>
    </row>
    <row r="89" spans="1:11" x14ac:dyDescent="0.25">
      <c r="B89" s="31">
        <v>42719</v>
      </c>
      <c r="C89" s="21" t="s">
        <v>1338</v>
      </c>
      <c r="D89" s="23"/>
      <c r="E89" s="23"/>
      <c r="F89" s="23"/>
      <c r="G89" s="23"/>
      <c r="H89" s="23">
        <v>14500</v>
      </c>
      <c r="I89" s="27"/>
      <c r="J89" s="24">
        <f t="shared" ref="J89:J109" si="8">+J88+E89-G89</f>
        <v>968.20000000000073</v>
      </c>
      <c r="K89" s="24">
        <f t="shared" ref="K89:K109" si="9">+K88+D89-H89</f>
        <v>30250.11</v>
      </c>
    </row>
    <row r="90" spans="1:11" x14ac:dyDescent="0.25">
      <c r="B90" s="31">
        <v>42719</v>
      </c>
      <c r="C90" s="21" t="s">
        <v>1334</v>
      </c>
      <c r="D90" s="73"/>
      <c r="E90" s="73"/>
      <c r="F90" s="73"/>
      <c r="G90" s="28"/>
      <c r="H90" s="23">
        <v>4000</v>
      </c>
      <c r="I90" s="27"/>
      <c r="J90" s="24">
        <f t="shared" si="8"/>
        <v>968.20000000000073</v>
      </c>
      <c r="K90" s="24">
        <f t="shared" si="9"/>
        <v>26250.11</v>
      </c>
    </row>
    <row r="91" spans="1:11" x14ac:dyDescent="0.25">
      <c r="A91" s="152"/>
      <c r="B91" s="31">
        <v>42706</v>
      </c>
      <c r="C91" s="25" t="s">
        <v>1339</v>
      </c>
      <c r="D91" s="73"/>
      <c r="E91" s="73">
        <v>200.15</v>
      </c>
      <c r="F91" s="73"/>
      <c r="G91" s="28"/>
      <c r="H91" s="23"/>
      <c r="I91" s="27"/>
      <c r="J91" s="24">
        <f t="shared" si="8"/>
        <v>1168.3500000000008</v>
      </c>
      <c r="K91" s="24">
        <f t="shared" si="9"/>
        <v>26250.11</v>
      </c>
    </row>
    <row r="92" spans="1:11" x14ac:dyDescent="0.25">
      <c r="A92" s="152"/>
      <c r="B92" s="31">
        <v>42711</v>
      </c>
      <c r="C92" s="25" t="s">
        <v>1340</v>
      </c>
      <c r="D92" s="73"/>
      <c r="E92" s="73">
        <v>300.45999999999998</v>
      </c>
      <c r="F92" s="73"/>
      <c r="G92" s="28"/>
      <c r="H92" s="23"/>
      <c r="I92" s="27"/>
      <c r="J92" s="24">
        <f t="shared" si="8"/>
        <v>1468.8100000000009</v>
      </c>
      <c r="K92" s="24">
        <f t="shared" si="9"/>
        <v>26250.11</v>
      </c>
    </row>
    <row r="93" spans="1:11" x14ac:dyDescent="0.25">
      <c r="A93" s="152"/>
      <c r="B93" s="31">
        <v>42711</v>
      </c>
      <c r="C93" s="25" t="s">
        <v>1339</v>
      </c>
      <c r="D93" s="73"/>
      <c r="E93" s="73">
        <v>1200.29</v>
      </c>
      <c r="F93" s="73"/>
      <c r="G93" s="28"/>
      <c r="H93" s="23"/>
      <c r="I93" s="27"/>
      <c r="J93" s="24">
        <f t="shared" si="8"/>
        <v>2669.1000000000008</v>
      </c>
      <c r="K93" s="24">
        <f t="shared" si="9"/>
        <v>26250.11</v>
      </c>
    </row>
    <row r="94" spans="1:11" x14ac:dyDescent="0.25">
      <c r="B94" s="31">
        <v>42720</v>
      </c>
      <c r="C94" s="25" t="s">
        <v>1341</v>
      </c>
      <c r="D94" s="73"/>
      <c r="E94" s="73"/>
      <c r="F94" s="73"/>
      <c r="G94" s="73"/>
      <c r="H94" s="23">
        <v>450</v>
      </c>
      <c r="I94" s="27"/>
      <c r="J94" s="24">
        <f t="shared" si="8"/>
        <v>2669.1000000000008</v>
      </c>
      <c r="K94" s="24">
        <f t="shared" si="9"/>
        <v>25800.11</v>
      </c>
    </row>
    <row r="95" spans="1:11" x14ac:dyDescent="0.25">
      <c r="B95" s="31">
        <v>42720</v>
      </c>
      <c r="C95" s="25" t="s">
        <v>1342</v>
      </c>
      <c r="D95" s="73"/>
      <c r="E95" s="73"/>
      <c r="F95" s="73"/>
      <c r="G95" s="73"/>
      <c r="H95" s="23">
        <v>1000</v>
      </c>
      <c r="I95" s="27"/>
      <c r="J95" s="24">
        <f t="shared" si="8"/>
        <v>2669.1000000000008</v>
      </c>
      <c r="K95" s="24">
        <f t="shared" si="9"/>
        <v>24800.11</v>
      </c>
    </row>
    <row r="96" spans="1:11" x14ac:dyDescent="0.25">
      <c r="B96" s="31">
        <v>42720</v>
      </c>
      <c r="C96" s="21" t="s">
        <v>1343</v>
      </c>
      <c r="D96" s="23"/>
      <c r="E96" s="23"/>
      <c r="F96" s="23"/>
      <c r="G96" s="23"/>
      <c r="H96" s="23">
        <v>200</v>
      </c>
      <c r="I96" s="27"/>
      <c r="J96" s="24">
        <f t="shared" si="8"/>
        <v>2669.1000000000008</v>
      </c>
      <c r="K96" s="24">
        <f t="shared" si="9"/>
        <v>24600.11</v>
      </c>
    </row>
    <row r="97" spans="2:12" x14ac:dyDescent="0.25">
      <c r="B97" s="31">
        <v>42720</v>
      </c>
      <c r="C97" s="21" t="s">
        <v>1344</v>
      </c>
      <c r="D97" s="23"/>
      <c r="E97" s="23"/>
      <c r="F97" s="23"/>
      <c r="G97" s="23"/>
      <c r="H97" s="23">
        <v>1000</v>
      </c>
      <c r="I97" s="27"/>
      <c r="J97" s="24">
        <f t="shared" si="8"/>
        <v>2669.1000000000008</v>
      </c>
      <c r="K97" s="24">
        <f t="shared" si="9"/>
        <v>23600.11</v>
      </c>
    </row>
    <row r="98" spans="2:12" x14ac:dyDescent="0.25">
      <c r="B98" s="31">
        <v>42720</v>
      </c>
      <c r="C98" s="21" t="s">
        <v>1345</v>
      </c>
      <c r="D98" s="23"/>
      <c r="E98" s="23"/>
      <c r="F98" s="23"/>
      <c r="G98" s="23"/>
      <c r="H98" s="23">
        <v>250</v>
      </c>
      <c r="I98" s="27"/>
      <c r="J98" s="24">
        <f t="shared" si="8"/>
        <v>2669.1000000000008</v>
      </c>
      <c r="K98" s="24">
        <f t="shared" si="9"/>
        <v>23350.11</v>
      </c>
    </row>
    <row r="99" spans="2:12" x14ac:dyDescent="0.25">
      <c r="B99" s="31">
        <v>42720</v>
      </c>
      <c r="C99" s="21" t="s">
        <v>1346</v>
      </c>
      <c r="D99" s="23"/>
      <c r="E99" s="23"/>
      <c r="F99" s="23"/>
      <c r="G99" s="23"/>
      <c r="H99" s="23">
        <v>250</v>
      </c>
      <c r="I99" s="27"/>
      <c r="J99" s="24">
        <f t="shared" si="8"/>
        <v>2669.1000000000008</v>
      </c>
      <c r="K99" s="24">
        <f t="shared" si="9"/>
        <v>23100.11</v>
      </c>
    </row>
    <row r="100" spans="2:12" x14ac:dyDescent="0.25">
      <c r="B100" s="31">
        <v>42721</v>
      </c>
      <c r="C100" s="21" t="s">
        <v>1347</v>
      </c>
      <c r="D100" s="23"/>
      <c r="E100" s="23"/>
      <c r="F100" s="23"/>
      <c r="G100" s="23"/>
      <c r="H100" s="23">
        <v>500</v>
      </c>
      <c r="I100" s="27"/>
      <c r="J100" s="24">
        <f t="shared" si="8"/>
        <v>2669.1000000000008</v>
      </c>
      <c r="K100" s="24">
        <f t="shared" si="9"/>
        <v>22600.11</v>
      </c>
    </row>
    <row r="101" spans="2:12" x14ac:dyDescent="0.25">
      <c r="B101" s="31">
        <v>42721</v>
      </c>
      <c r="C101" s="21" t="s">
        <v>1348</v>
      </c>
      <c r="D101" s="23"/>
      <c r="E101" s="23"/>
      <c r="F101" s="23"/>
      <c r="G101" s="23"/>
      <c r="H101" s="23">
        <v>280</v>
      </c>
      <c r="I101" s="27"/>
      <c r="J101" s="24">
        <f t="shared" si="8"/>
        <v>2669.1000000000008</v>
      </c>
      <c r="K101" s="24">
        <f t="shared" si="9"/>
        <v>22320.11</v>
      </c>
    </row>
    <row r="102" spans="2:12" x14ac:dyDescent="0.25">
      <c r="B102" s="31">
        <v>42721</v>
      </c>
      <c r="C102" s="21" t="s">
        <v>1349</v>
      </c>
      <c r="D102" s="23"/>
      <c r="E102" s="23"/>
      <c r="F102" s="23"/>
      <c r="G102" s="23"/>
      <c r="H102" s="23">
        <v>350</v>
      </c>
      <c r="I102" s="27"/>
      <c r="J102" s="24">
        <f t="shared" si="8"/>
        <v>2669.1000000000008</v>
      </c>
      <c r="K102" s="24">
        <f t="shared" si="9"/>
        <v>21970.11</v>
      </c>
    </row>
    <row r="103" spans="2:12" x14ac:dyDescent="0.25">
      <c r="B103" s="31">
        <v>42721</v>
      </c>
      <c r="C103" s="62" t="s">
        <v>1350</v>
      </c>
      <c r="D103" s="23"/>
      <c r="E103" s="23"/>
      <c r="F103" s="23"/>
      <c r="G103" s="23"/>
      <c r="H103" s="23">
        <v>250</v>
      </c>
      <c r="I103" s="27"/>
      <c r="J103" s="24">
        <f t="shared" si="8"/>
        <v>2669.1000000000008</v>
      </c>
      <c r="K103" s="24">
        <f t="shared" si="9"/>
        <v>21720.11</v>
      </c>
    </row>
    <row r="104" spans="2:12" x14ac:dyDescent="0.25">
      <c r="B104" s="31">
        <v>42721</v>
      </c>
      <c r="C104" s="60" t="s">
        <v>1356</v>
      </c>
      <c r="D104" s="23"/>
      <c r="E104" s="23">
        <v>12760</v>
      </c>
      <c r="F104" s="23"/>
      <c r="G104" s="23"/>
      <c r="H104" s="23"/>
      <c r="I104" s="27"/>
      <c r="J104" s="24">
        <f t="shared" si="8"/>
        <v>15429.1</v>
      </c>
      <c r="K104" s="24">
        <f t="shared" si="9"/>
        <v>21720.11</v>
      </c>
    </row>
    <row r="105" spans="2:12" x14ac:dyDescent="0.25">
      <c r="B105" s="31">
        <v>42722</v>
      </c>
      <c r="C105" s="21" t="s">
        <v>1352</v>
      </c>
      <c r="D105" s="23"/>
      <c r="E105" s="23"/>
      <c r="F105" s="23"/>
      <c r="G105" s="23"/>
      <c r="H105" s="23">
        <v>120</v>
      </c>
      <c r="I105" s="27"/>
      <c r="J105" s="24">
        <f t="shared" si="8"/>
        <v>15429.1</v>
      </c>
      <c r="K105" s="24">
        <f t="shared" si="9"/>
        <v>21600.11</v>
      </c>
    </row>
    <row r="106" spans="2:12" x14ac:dyDescent="0.25">
      <c r="B106" s="31">
        <v>42722</v>
      </c>
      <c r="C106" s="21" t="s">
        <v>1351</v>
      </c>
      <c r="D106" s="23"/>
      <c r="E106" s="23"/>
      <c r="F106" s="23"/>
      <c r="G106" s="23"/>
      <c r="H106" s="23">
        <v>150</v>
      </c>
      <c r="I106" s="27"/>
      <c r="J106" s="24">
        <f t="shared" si="8"/>
        <v>15429.1</v>
      </c>
      <c r="K106" s="24">
        <f t="shared" si="9"/>
        <v>21450.11</v>
      </c>
    </row>
    <row r="107" spans="2:12" x14ac:dyDescent="0.25">
      <c r="B107" s="31">
        <v>42723</v>
      </c>
      <c r="C107" s="21" t="s">
        <v>1353</v>
      </c>
      <c r="D107" s="23"/>
      <c r="E107" s="23"/>
      <c r="F107" s="23"/>
      <c r="G107" s="23"/>
      <c r="H107" s="23">
        <v>91</v>
      </c>
      <c r="I107" s="27"/>
      <c r="J107" s="24">
        <f t="shared" si="8"/>
        <v>15429.1</v>
      </c>
      <c r="K107" s="24">
        <f t="shared" si="9"/>
        <v>21359.11</v>
      </c>
    </row>
    <row r="108" spans="2:12" x14ac:dyDescent="0.25">
      <c r="B108" s="31">
        <v>42723</v>
      </c>
      <c r="C108" s="21" t="s">
        <v>1354</v>
      </c>
      <c r="D108" s="23"/>
      <c r="E108" s="23"/>
      <c r="F108" s="23"/>
      <c r="G108" s="23"/>
      <c r="H108" s="23">
        <v>320</v>
      </c>
      <c r="I108" s="27"/>
      <c r="J108" s="24">
        <f t="shared" si="8"/>
        <v>15429.1</v>
      </c>
      <c r="K108" s="24">
        <f t="shared" si="9"/>
        <v>21039.11</v>
      </c>
    </row>
    <row r="109" spans="2:12" ht="15.75" thickBot="1" x14ac:dyDescent="0.3">
      <c r="B109" s="31">
        <v>42723</v>
      </c>
      <c r="C109" s="25" t="s">
        <v>1241</v>
      </c>
      <c r="D109" s="23"/>
      <c r="E109" s="23"/>
      <c r="F109" s="23"/>
      <c r="G109" s="23"/>
      <c r="H109" s="23">
        <v>310</v>
      </c>
      <c r="I109" s="27"/>
      <c r="J109" s="24">
        <f t="shared" si="8"/>
        <v>15429.1</v>
      </c>
      <c r="K109" s="24">
        <f t="shared" si="9"/>
        <v>20729.11</v>
      </c>
      <c r="L109" s="1"/>
    </row>
    <row r="110" spans="2:12" ht="15.75" thickBot="1" x14ac:dyDescent="0.3">
      <c r="B110" s="13"/>
      <c r="C110" s="16" t="s">
        <v>0</v>
      </c>
      <c r="D110" s="105">
        <f>SUM(D56:D109)</f>
        <v>68075</v>
      </c>
      <c r="E110" s="103">
        <f>SUM(E56:E109)</f>
        <v>14460.9</v>
      </c>
      <c r="F110" s="114">
        <f>SUM(D110:E110)</f>
        <v>82535.899999999994</v>
      </c>
      <c r="G110" s="126">
        <f>SUM(G58:G109)</f>
        <v>19443</v>
      </c>
      <c r="H110" s="144">
        <f>SUM(H58:H109)</f>
        <v>77754.78</v>
      </c>
      <c r="I110" s="114">
        <f>SUM(G110:H110)</f>
        <v>97197.78</v>
      </c>
      <c r="J110" s="33">
        <v>0</v>
      </c>
      <c r="K110" s="33"/>
    </row>
    <row r="111" spans="2:12" x14ac:dyDescent="0.25">
      <c r="B111" s="111" t="s">
        <v>1</v>
      </c>
      <c r="C111" s="111" t="s">
        <v>2</v>
      </c>
      <c r="D111" s="111" t="s">
        <v>3</v>
      </c>
      <c r="E111" s="111" t="s">
        <v>3</v>
      </c>
      <c r="F111" s="111" t="s">
        <v>323</v>
      </c>
      <c r="G111" s="111" t="s">
        <v>324</v>
      </c>
      <c r="H111" s="81" t="s">
        <v>324</v>
      </c>
      <c r="I111" s="81" t="s">
        <v>323</v>
      </c>
      <c r="J111" s="111" t="s">
        <v>174</v>
      </c>
      <c r="K111" s="81" t="s">
        <v>173</v>
      </c>
    </row>
    <row r="112" spans="2:12" ht="15.75" thickBot="1" x14ac:dyDescent="0.3">
      <c r="B112" s="112"/>
      <c r="C112" s="112"/>
      <c r="D112" s="112" t="s">
        <v>6</v>
      </c>
      <c r="E112" s="112" t="s">
        <v>325</v>
      </c>
      <c r="F112" s="112" t="s">
        <v>3</v>
      </c>
      <c r="G112" s="112" t="s">
        <v>325</v>
      </c>
      <c r="H112" s="113" t="s">
        <v>6</v>
      </c>
      <c r="I112" s="113" t="s">
        <v>5</v>
      </c>
      <c r="J112" s="112"/>
      <c r="K112" s="113"/>
    </row>
    <row r="113" spans="2:11" ht="15.75" thickBot="1" x14ac:dyDescent="0.3">
      <c r="B113" s="13"/>
      <c r="C113" s="16" t="s">
        <v>0</v>
      </c>
      <c r="D113" s="105">
        <v>68075</v>
      </c>
      <c r="E113" s="103">
        <v>14460.9</v>
      </c>
      <c r="F113" s="114">
        <f>SUM(D113:E113)</f>
        <v>82535.899999999994</v>
      </c>
      <c r="G113" s="126">
        <v>19443</v>
      </c>
      <c r="H113" s="105">
        <v>77754.78</v>
      </c>
      <c r="I113" s="114">
        <f>SUM(G113:H113)</f>
        <v>97197.78</v>
      </c>
      <c r="J113" s="32">
        <v>15429.1</v>
      </c>
      <c r="K113" s="32">
        <v>20729.11</v>
      </c>
    </row>
    <row r="114" spans="2:11" x14ac:dyDescent="0.25">
      <c r="B114" s="31">
        <v>42723</v>
      </c>
      <c r="C114" s="21" t="s">
        <v>1355</v>
      </c>
      <c r="D114" s="23"/>
      <c r="E114" s="23"/>
      <c r="F114" s="23"/>
      <c r="G114" s="23"/>
      <c r="H114" s="23">
        <v>400</v>
      </c>
      <c r="I114" s="27"/>
      <c r="J114" s="24">
        <f t="shared" ref="J114:J148" si="10">+J113+E114-G114</f>
        <v>15429.1</v>
      </c>
      <c r="K114" s="24">
        <f>+K113+D114-H114</f>
        <v>20329.11</v>
      </c>
    </row>
    <row r="115" spans="2:11" x14ac:dyDescent="0.25">
      <c r="B115" s="31">
        <v>42723</v>
      </c>
      <c r="C115" s="21" t="s">
        <v>1357</v>
      </c>
      <c r="D115" s="23"/>
      <c r="E115" s="23"/>
      <c r="F115" s="23"/>
      <c r="G115" s="23"/>
      <c r="H115" s="23">
        <v>300</v>
      </c>
      <c r="I115" s="27"/>
      <c r="J115" s="24">
        <f t="shared" si="10"/>
        <v>15429.1</v>
      </c>
      <c r="K115" s="24">
        <f t="shared" ref="K115:K148" si="11">+K114+D115-H115</f>
        <v>20029.11</v>
      </c>
    </row>
    <row r="116" spans="2:11" x14ac:dyDescent="0.25">
      <c r="B116" s="31">
        <v>42724</v>
      </c>
      <c r="C116" s="21" t="s">
        <v>1358</v>
      </c>
      <c r="D116" s="23">
        <v>38250</v>
      </c>
      <c r="E116" s="23"/>
      <c r="F116" s="23"/>
      <c r="G116" s="23"/>
      <c r="H116" s="23"/>
      <c r="I116" s="27"/>
      <c r="J116" s="24">
        <f t="shared" si="10"/>
        <v>15429.1</v>
      </c>
      <c r="K116" s="24">
        <f t="shared" si="11"/>
        <v>58279.11</v>
      </c>
    </row>
    <row r="117" spans="2:11" x14ac:dyDescent="0.25">
      <c r="B117" s="31">
        <v>42724</v>
      </c>
      <c r="C117" s="21" t="s">
        <v>1359</v>
      </c>
      <c r="D117" s="23"/>
      <c r="E117" s="23"/>
      <c r="F117" s="23"/>
      <c r="G117" s="23"/>
      <c r="H117" s="23">
        <v>349.5</v>
      </c>
      <c r="I117" s="27"/>
      <c r="J117" s="24">
        <f t="shared" si="10"/>
        <v>15429.1</v>
      </c>
      <c r="K117" s="24">
        <f t="shared" si="11"/>
        <v>57929.61</v>
      </c>
    </row>
    <row r="118" spans="2:11" x14ac:dyDescent="0.25">
      <c r="B118" s="31">
        <v>42724</v>
      </c>
      <c r="C118" s="21" t="s">
        <v>1000</v>
      </c>
      <c r="D118" s="23"/>
      <c r="E118" s="23"/>
      <c r="F118" s="23"/>
      <c r="G118" s="23"/>
      <c r="H118" s="23">
        <v>5</v>
      </c>
      <c r="I118" s="27"/>
      <c r="J118" s="24">
        <f t="shared" si="10"/>
        <v>15429.1</v>
      </c>
      <c r="K118" s="24">
        <f t="shared" si="11"/>
        <v>57924.61</v>
      </c>
    </row>
    <row r="119" spans="2:11" x14ac:dyDescent="0.25">
      <c r="B119" s="31">
        <v>42724</v>
      </c>
      <c r="C119" s="21" t="s">
        <v>1360</v>
      </c>
      <c r="D119" s="23"/>
      <c r="E119" s="23"/>
      <c r="F119" s="23"/>
      <c r="G119" s="23"/>
      <c r="H119" s="23">
        <v>400</v>
      </c>
      <c r="I119" s="27"/>
      <c r="J119" s="24">
        <f t="shared" si="10"/>
        <v>15429.1</v>
      </c>
      <c r="K119" s="24">
        <f t="shared" si="11"/>
        <v>57524.61</v>
      </c>
    </row>
    <row r="120" spans="2:11" x14ac:dyDescent="0.25">
      <c r="B120" s="31">
        <v>42724</v>
      </c>
      <c r="C120" s="21" t="s">
        <v>1361</v>
      </c>
      <c r="D120" s="23"/>
      <c r="E120" s="23"/>
      <c r="F120" s="23"/>
      <c r="G120" s="23"/>
      <c r="H120" s="23">
        <v>831</v>
      </c>
      <c r="I120" s="27"/>
      <c r="J120" s="24">
        <f t="shared" si="10"/>
        <v>15429.1</v>
      </c>
      <c r="K120" s="24">
        <f t="shared" si="11"/>
        <v>56693.61</v>
      </c>
    </row>
    <row r="121" spans="2:11" x14ac:dyDescent="0.25">
      <c r="B121" s="31">
        <v>42724</v>
      </c>
      <c r="C121" s="21" t="s">
        <v>1362</v>
      </c>
      <c r="D121" s="23"/>
      <c r="E121" s="23"/>
      <c r="F121" s="23"/>
      <c r="G121" s="23"/>
      <c r="H121" s="23">
        <v>565.79999999999995</v>
      </c>
      <c r="I121" s="27"/>
      <c r="J121" s="24">
        <f t="shared" si="10"/>
        <v>15429.1</v>
      </c>
      <c r="K121" s="24">
        <f t="shared" si="11"/>
        <v>56127.81</v>
      </c>
    </row>
    <row r="122" spans="2:11" x14ac:dyDescent="0.25">
      <c r="B122" s="31">
        <v>42724</v>
      </c>
      <c r="C122" s="21" t="s">
        <v>1000</v>
      </c>
      <c r="D122" s="23"/>
      <c r="E122" s="23"/>
      <c r="F122" s="23"/>
      <c r="G122" s="23"/>
      <c r="H122" s="23">
        <v>40</v>
      </c>
      <c r="I122" s="27"/>
      <c r="J122" s="24">
        <f t="shared" si="10"/>
        <v>15429.1</v>
      </c>
      <c r="K122" s="24">
        <f t="shared" si="11"/>
        <v>56087.81</v>
      </c>
    </row>
    <row r="123" spans="2:11" x14ac:dyDescent="0.25">
      <c r="B123" s="31">
        <v>42724</v>
      </c>
      <c r="C123" s="21" t="s">
        <v>1363</v>
      </c>
      <c r="D123" s="23"/>
      <c r="E123" s="23"/>
      <c r="F123" s="23"/>
      <c r="G123" s="23"/>
      <c r="H123" s="23">
        <v>480</v>
      </c>
      <c r="I123" s="27"/>
      <c r="J123" s="24">
        <f t="shared" si="10"/>
        <v>15429.1</v>
      </c>
      <c r="K123" s="24">
        <f t="shared" si="11"/>
        <v>55607.81</v>
      </c>
    </row>
    <row r="124" spans="2:11" x14ac:dyDescent="0.25">
      <c r="B124" s="31">
        <v>42725</v>
      </c>
      <c r="C124" s="21" t="s">
        <v>1364</v>
      </c>
      <c r="D124" s="23"/>
      <c r="E124" s="23"/>
      <c r="F124" s="23"/>
      <c r="G124" s="23"/>
      <c r="H124" s="23">
        <v>294</v>
      </c>
      <c r="I124" s="27"/>
      <c r="J124" s="24">
        <f t="shared" si="10"/>
        <v>15429.1</v>
      </c>
      <c r="K124" s="24">
        <f t="shared" si="11"/>
        <v>55313.81</v>
      </c>
    </row>
    <row r="125" spans="2:11" x14ac:dyDescent="0.25">
      <c r="B125" s="31">
        <v>42726</v>
      </c>
      <c r="C125" s="21" t="s">
        <v>1365</v>
      </c>
      <c r="D125" s="23"/>
      <c r="E125" s="23"/>
      <c r="F125" s="23"/>
      <c r="G125" s="23"/>
      <c r="H125" s="23">
        <v>49</v>
      </c>
      <c r="I125" s="27"/>
      <c r="J125" s="24">
        <f t="shared" si="10"/>
        <v>15429.1</v>
      </c>
      <c r="K125" s="24">
        <f t="shared" si="11"/>
        <v>55264.81</v>
      </c>
    </row>
    <row r="126" spans="2:11" x14ac:dyDescent="0.25">
      <c r="B126" s="31">
        <v>42726</v>
      </c>
      <c r="C126" s="21" t="s">
        <v>1366</v>
      </c>
      <c r="D126" s="23"/>
      <c r="E126" s="23"/>
      <c r="F126" s="23"/>
      <c r="G126" s="23"/>
      <c r="H126" s="23">
        <v>732</v>
      </c>
      <c r="I126" s="27"/>
      <c r="J126" s="24">
        <f t="shared" si="10"/>
        <v>15429.1</v>
      </c>
      <c r="K126" s="24">
        <f t="shared" si="11"/>
        <v>54532.81</v>
      </c>
    </row>
    <row r="127" spans="2:11" x14ac:dyDescent="0.25">
      <c r="B127" s="31">
        <v>42726</v>
      </c>
      <c r="C127" s="21" t="s">
        <v>1366</v>
      </c>
      <c r="D127" s="23"/>
      <c r="E127" s="23"/>
      <c r="F127" s="23"/>
      <c r="G127" s="23"/>
      <c r="H127" s="23">
        <v>813</v>
      </c>
      <c r="I127" s="27"/>
      <c r="J127" s="24">
        <f t="shared" si="10"/>
        <v>15429.1</v>
      </c>
      <c r="K127" s="24">
        <f t="shared" si="11"/>
        <v>53719.81</v>
      </c>
    </row>
    <row r="128" spans="2:11" x14ac:dyDescent="0.25">
      <c r="B128" s="31">
        <v>42726</v>
      </c>
      <c r="C128" s="21" t="s">
        <v>1367</v>
      </c>
      <c r="D128" s="23"/>
      <c r="E128" s="23"/>
      <c r="F128" s="23"/>
      <c r="G128" s="23"/>
      <c r="H128" s="23">
        <v>279</v>
      </c>
      <c r="I128" s="27"/>
      <c r="J128" s="24">
        <f t="shared" si="10"/>
        <v>15429.1</v>
      </c>
      <c r="K128" s="24">
        <f t="shared" si="11"/>
        <v>53440.81</v>
      </c>
    </row>
    <row r="129" spans="2:11" x14ac:dyDescent="0.25">
      <c r="B129" s="31">
        <v>42726</v>
      </c>
      <c r="C129" s="21" t="s">
        <v>1368</v>
      </c>
      <c r="D129" s="73"/>
      <c r="E129" s="73"/>
      <c r="F129" s="73"/>
      <c r="G129" s="73"/>
      <c r="H129" s="23">
        <v>168</v>
      </c>
      <c r="I129" s="27"/>
      <c r="J129" s="24">
        <f t="shared" si="10"/>
        <v>15429.1</v>
      </c>
      <c r="K129" s="24">
        <f t="shared" si="11"/>
        <v>53272.81</v>
      </c>
    </row>
    <row r="130" spans="2:11" x14ac:dyDescent="0.25">
      <c r="B130" s="31">
        <v>42726</v>
      </c>
      <c r="C130" s="25" t="s">
        <v>1000</v>
      </c>
      <c r="D130" s="73"/>
      <c r="E130" s="73"/>
      <c r="F130" s="73"/>
      <c r="G130" s="28"/>
      <c r="H130" s="23">
        <v>5</v>
      </c>
      <c r="I130" s="27"/>
      <c r="J130" s="24">
        <f t="shared" si="10"/>
        <v>15429.1</v>
      </c>
      <c r="K130" s="24">
        <f t="shared" si="11"/>
        <v>53267.81</v>
      </c>
    </row>
    <row r="131" spans="2:11" x14ac:dyDescent="0.25">
      <c r="B131" s="31">
        <v>42727</v>
      </c>
      <c r="C131" s="25" t="s">
        <v>1369</v>
      </c>
      <c r="D131" s="73"/>
      <c r="E131" s="73"/>
      <c r="F131" s="73"/>
      <c r="G131" s="73"/>
      <c r="H131" s="23">
        <v>200</v>
      </c>
      <c r="I131" s="27"/>
      <c r="J131" s="24">
        <f t="shared" si="10"/>
        <v>15429.1</v>
      </c>
      <c r="K131" s="24">
        <f t="shared" si="11"/>
        <v>53067.81</v>
      </c>
    </row>
    <row r="132" spans="2:11" x14ac:dyDescent="0.25">
      <c r="B132" s="31">
        <v>42727</v>
      </c>
      <c r="C132" s="25" t="s">
        <v>1370</v>
      </c>
      <c r="D132" s="73"/>
      <c r="E132" s="73"/>
      <c r="F132" s="73"/>
      <c r="G132" s="73"/>
      <c r="H132" s="23">
        <v>200</v>
      </c>
      <c r="I132" s="27"/>
      <c r="J132" s="24">
        <f t="shared" si="10"/>
        <v>15429.1</v>
      </c>
      <c r="K132" s="24">
        <f t="shared" si="11"/>
        <v>52867.81</v>
      </c>
    </row>
    <row r="133" spans="2:11" x14ac:dyDescent="0.25">
      <c r="B133" s="31">
        <v>42727</v>
      </c>
      <c r="C133" s="25" t="s">
        <v>1371</v>
      </c>
      <c r="D133" s="73"/>
      <c r="E133" s="73"/>
      <c r="F133" s="73"/>
      <c r="G133" s="73"/>
      <c r="H133" s="23">
        <v>1000</v>
      </c>
      <c r="I133" s="27"/>
      <c r="J133" s="24">
        <f t="shared" si="10"/>
        <v>15429.1</v>
      </c>
      <c r="K133" s="24">
        <f t="shared" si="11"/>
        <v>51867.81</v>
      </c>
    </row>
    <row r="134" spans="2:11" x14ac:dyDescent="0.25">
      <c r="B134" s="31">
        <v>42727</v>
      </c>
      <c r="C134" s="25" t="s">
        <v>1372</v>
      </c>
      <c r="D134" s="73"/>
      <c r="E134" s="73"/>
      <c r="F134" s="73"/>
      <c r="G134" s="73"/>
      <c r="H134" s="23">
        <v>350</v>
      </c>
      <c r="I134" s="27"/>
      <c r="J134" s="24">
        <f t="shared" si="10"/>
        <v>15429.1</v>
      </c>
      <c r="K134" s="24">
        <f t="shared" si="11"/>
        <v>51517.81</v>
      </c>
    </row>
    <row r="135" spans="2:11" x14ac:dyDescent="0.25">
      <c r="B135" s="31">
        <v>42727</v>
      </c>
      <c r="C135" s="25" t="s">
        <v>1373</v>
      </c>
      <c r="D135" s="73"/>
      <c r="E135" s="73"/>
      <c r="F135" s="73"/>
      <c r="G135" s="73"/>
      <c r="H135" s="23">
        <v>600</v>
      </c>
      <c r="I135" s="27"/>
      <c r="J135" s="24">
        <f t="shared" si="10"/>
        <v>15429.1</v>
      </c>
      <c r="K135" s="24">
        <f t="shared" si="11"/>
        <v>50917.81</v>
      </c>
    </row>
    <row r="136" spans="2:11" x14ac:dyDescent="0.25">
      <c r="B136" s="31">
        <v>42727</v>
      </c>
      <c r="C136" s="25" t="s">
        <v>1373</v>
      </c>
      <c r="D136" s="73"/>
      <c r="E136" s="73"/>
      <c r="F136" s="73"/>
      <c r="G136" s="73"/>
      <c r="H136" s="23">
        <v>600</v>
      </c>
      <c r="I136" s="27"/>
      <c r="J136" s="24">
        <f t="shared" si="10"/>
        <v>15429.1</v>
      </c>
      <c r="K136" s="24">
        <f t="shared" si="11"/>
        <v>50317.81</v>
      </c>
    </row>
    <row r="137" spans="2:11" x14ac:dyDescent="0.25">
      <c r="B137" s="31">
        <v>42728</v>
      </c>
      <c r="C137" s="25" t="s">
        <v>1374</v>
      </c>
      <c r="D137" s="73"/>
      <c r="E137" s="73"/>
      <c r="F137" s="73"/>
      <c r="G137" s="73"/>
      <c r="H137" s="23">
        <v>245.2</v>
      </c>
      <c r="I137" s="27"/>
      <c r="J137" s="24">
        <f t="shared" si="10"/>
        <v>15429.1</v>
      </c>
      <c r="K137" s="24">
        <f t="shared" si="11"/>
        <v>50072.61</v>
      </c>
    </row>
    <row r="138" spans="2:11" x14ac:dyDescent="0.25">
      <c r="B138" s="31">
        <v>42728</v>
      </c>
      <c r="C138" s="25" t="s">
        <v>1375</v>
      </c>
      <c r="D138" s="73"/>
      <c r="E138" s="73"/>
      <c r="F138" s="73"/>
      <c r="G138" s="73"/>
      <c r="H138" s="23">
        <v>1500</v>
      </c>
      <c r="I138" s="27"/>
      <c r="J138" s="24">
        <f t="shared" si="10"/>
        <v>15429.1</v>
      </c>
      <c r="K138" s="24">
        <f t="shared" si="11"/>
        <v>48572.61</v>
      </c>
    </row>
    <row r="139" spans="2:11" x14ac:dyDescent="0.25">
      <c r="B139" s="31">
        <v>42698</v>
      </c>
      <c r="C139" s="60" t="s">
        <v>1376</v>
      </c>
      <c r="D139" s="23"/>
      <c r="E139" s="23"/>
      <c r="F139" s="23"/>
      <c r="G139" s="23"/>
      <c r="H139" s="23">
        <v>500</v>
      </c>
      <c r="I139" s="27"/>
      <c r="J139" s="24">
        <f t="shared" si="10"/>
        <v>15429.1</v>
      </c>
      <c r="K139" s="24">
        <f t="shared" si="11"/>
        <v>48072.61</v>
      </c>
    </row>
    <row r="140" spans="2:11" x14ac:dyDescent="0.25">
      <c r="B140" s="31">
        <v>42728</v>
      </c>
      <c r="C140" s="25" t="s">
        <v>1377</v>
      </c>
      <c r="D140" s="23"/>
      <c r="E140" s="23"/>
      <c r="F140" s="23"/>
      <c r="G140" s="23"/>
      <c r="H140" s="23">
        <v>200</v>
      </c>
      <c r="I140" s="27"/>
      <c r="J140" s="24">
        <f t="shared" si="10"/>
        <v>15429.1</v>
      </c>
      <c r="K140" s="24">
        <f t="shared" si="11"/>
        <v>47872.61</v>
      </c>
    </row>
    <row r="141" spans="2:11" x14ac:dyDescent="0.25">
      <c r="B141" s="31">
        <v>42728</v>
      </c>
      <c r="C141" s="21" t="s">
        <v>1378</v>
      </c>
      <c r="D141" s="23"/>
      <c r="E141" s="23"/>
      <c r="F141" s="23"/>
      <c r="G141" s="23"/>
      <c r="H141" s="23">
        <v>1360</v>
      </c>
      <c r="I141" s="27"/>
      <c r="J141" s="24">
        <f t="shared" si="10"/>
        <v>15429.1</v>
      </c>
      <c r="K141" s="24">
        <f t="shared" si="11"/>
        <v>46512.61</v>
      </c>
    </row>
    <row r="142" spans="2:11" x14ac:dyDescent="0.25">
      <c r="B142" s="31">
        <v>42728</v>
      </c>
      <c r="C142" s="21" t="s">
        <v>1379</v>
      </c>
      <c r="D142" s="23"/>
      <c r="E142" s="23"/>
      <c r="F142" s="23"/>
      <c r="G142" s="23"/>
      <c r="H142" s="23">
        <v>23</v>
      </c>
      <c r="I142" s="27"/>
      <c r="J142" s="24">
        <f t="shared" si="10"/>
        <v>15429.1</v>
      </c>
      <c r="K142" s="24">
        <f t="shared" si="11"/>
        <v>46489.61</v>
      </c>
    </row>
    <row r="143" spans="2:11" x14ac:dyDescent="0.25">
      <c r="B143" s="31">
        <v>42729</v>
      </c>
      <c r="C143" s="21" t="s">
        <v>1380</v>
      </c>
      <c r="D143" s="23"/>
      <c r="E143" s="23"/>
      <c r="F143" s="23"/>
      <c r="G143" s="23"/>
      <c r="H143" s="23">
        <v>280</v>
      </c>
      <c r="I143" s="27"/>
      <c r="J143" s="24">
        <f t="shared" si="10"/>
        <v>15429.1</v>
      </c>
      <c r="K143" s="24">
        <f t="shared" si="11"/>
        <v>46209.61</v>
      </c>
    </row>
    <row r="144" spans="2:11" x14ac:dyDescent="0.25">
      <c r="B144" s="31">
        <v>42729</v>
      </c>
      <c r="C144" s="21" t="s">
        <v>1381</v>
      </c>
      <c r="D144" s="23"/>
      <c r="E144" s="23"/>
      <c r="F144" s="23"/>
      <c r="G144" s="23"/>
      <c r="H144" s="23">
        <v>500</v>
      </c>
      <c r="I144" s="27"/>
      <c r="J144" s="24">
        <f t="shared" si="10"/>
        <v>15429.1</v>
      </c>
      <c r="K144" s="24">
        <f t="shared" si="11"/>
        <v>45709.61</v>
      </c>
    </row>
    <row r="145" spans="2:11" x14ac:dyDescent="0.25">
      <c r="B145" s="31">
        <v>42729</v>
      </c>
      <c r="C145" s="21" t="s">
        <v>1382</v>
      </c>
      <c r="D145" s="23"/>
      <c r="E145" s="23"/>
      <c r="F145" s="23"/>
      <c r="G145" s="23"/>
      <c r="H145" s="23">
        <v>100</v>
      </c>
      <c r="I145" s="27"/>
      <c r="J145" s="24">
        <f t="shared" si="10"/>
        <v>15429.1</v>
      </c>
      <c r="K145" s="24">
        <f t="shared" si="11"/>
        <v>45609.61</v>
      </c>
    </row>
    <row r="146" spans="2:11" x14ac:dyDescent="0.25">
      <c r="B146" s="31">
        <v>42729</v>
      </c>
      <c r="C146" s="21" t="s">
        <v>1383</v>
      </c>
      <c r="D146" s="23"/>
      <c r="E146" s="23"/>
      <c r="F146" s="23"/>
      <c r="G146" s="23"/>
      <c r="H146" s="69">
        <v>102.5</v>
      </c>
      <c r="I146" s="27"/>
      <c r="J146" s="24">
        <f t="shared" si="10"/>
        <v>15429.1</v>
      </c>
      <c r="K146" s="24">
        <f t="shared" si="11"/>
        <v>45507.11</v>
      </c>
    </row>
    <row r="147" spans="2:11" x14ac:dyDescent="0.25">
      <c r="B147" s="31">
        <v>42729</v>
      </c>
      <c r="C147" s="21" t="s">
        <v>1384</v>
      </c>
      <c r="D147" s="23">
        <v>8400</v>
      </c>
      <c r="E147" s="23"/>
      <c r="F147" s="23"/>
      <c r="G147" s="23"/>
      <c r="H147" s="23"/>
      <c r="I147" s="27"/>
      <c r="J147" s="24">
        <f t="shared" si="10"/>
        <v>15429.1</v>
      </c>
      <c r="K147" s="24">
        <f t="shared" si="11"/>
        <v>53907.11</v>
      </c>
    </row>
    <row r="148" spans="2:11" x14ac:dyDescent="0.25">
      <c r="B148" s="31">
        <v>42729</v>
      </c>
      <c r="C148" s="21" t="s">
        <v>1385</v>
      </c>
      <c r="D148" s="23"/>
      <c r="E148" s="23"/>
      <c r="F148" s="23"/>
      <c r="G148" s="23"/>
      <c r="H148" s="23">
        <v>310</v>
      </c>
      <c r="I148" s="27"/>
      <c r="J148" s="24">
        <f t="shared" si="10"/>
        <v>15429.1</v>
      </c>
      <c r="K148" s="24">
        <f t="shared" si="11"/>
        <v>53597.11</v>
      </c>
    </row>
    <row r="149" spans="2:11" x14ac:dyDescent="0.25">
      <c r="B149" s="31">
        <v>42731</v>
      </c>
      <c r="C149" s="21" t="s">
        <v>1386</v>
      </c>
      <c r="D149" s="23"/>
      <c r="E149" s="23"/>
      <c r="F149" s="23"/>
      <c r="G149" s="23">
        <v>3900</v>
      </c>
      <c r="H149" s="23"/>
      <c r="I149" s="27"/>
      <c r="J149" s="24">
        <f t="shared" ref="J149:J150" si="12">+J148+E149-G149</f>
        <v>11529.1</v>
      </c>
      <c r="K149" s="24">
        <f t="shared" ref="K149:K150" si="13">+K148+D149-H149</f>
        <v>53597.11</v>
      </c>
    </row>
    <row r="150" spans="2:11" x14ac:dyDescent="0.25">
      <c r="B150" s="31">
        <v>42731</v>
      </c>
      <c r="C150" s="21" t="s">
        <v>1387</v>
      </c>
      <c r="D150" s="23"/>
      <c r="E150" s="23"/>
      <c r="F150" s="23"/>
      <c r="G150" s="23"/>
      <c r="H150" s="23">
        <v>350</v>
      </c>
      <c r="I150" s="27"/>
      <c r="J150" s="24">
        <f t="shared" si="12"/>
        <v>11529.1</v>
      </c>
      <c r="K150" s="24">
        <f t="shared" si="13"/>
        <v>53247.11</v>
      </c>
    </row>
    <row r="151" spans="2:11" x14ac:dyDescent="0.25">
      <c r="B151" s="31">
        <v>42731</v>
      </c>
      <c r="C151" s="21" t="s">
        <v>1389</v>
      </c>
      <c r="D151" s="23"/>
      <c r="E151" s="23"/>
      <c r="F151" s="23"/>
      <c r="G151" s="23"/>
      <c r="H151" s="23">
        <v>350</v>
      </c>
      <c r="I151" s="27"/>
      <c r="J151" s="24">
        <f t="shared" ref="J151:J159" si="14">+J150+E151-G151</f>
        <v>11529.1</v>
      </c>
      <c r="K151" s="24">
        <f t="shared" ref="K151:K159" si="15">+K150+D151-H151</f>
        <v>52897.11</v>
      </c>
    </row>
    <row r="152" spans="2:11" x14ac:dyDescent="0.25">
      <c r="B152" s="31">
        <v>42732</v>
      </c>
      <c r="C152" s="21" t="s">
        <v>1390</v>
      </c>
      <c r="D152" s="23"/>
      <c r="E152" s="23"/>
      <c r="F152" s="23"/>
      <c r="G152" s="23"/>
      <c r="H152" s="23">
        <v>150</v>
      </c>
      <c r="I152" s="27"/>
      <c r="J152" s="24">
        <f t="shared" si="14"/>
        <v>11529.1</v>
      </c>
      <c r="K152" s="24">
        <f t="shared" si="15"/>
        <v>52747.11</v>
      </c>
    </row>
    <row r="153" spans="2:11" x14ac:dyDescent="0.25">
      <c r="B153" s="31">
        <v>42732</v>
      </c>
      <c r="C153" s="21" t="s">
        <v>1391</v>
      </c>
      <c r="D153" s="23"/>
      <c r="E153" s="23"/>
      <c r="F153" s="23"/>
      <c r="G153" s="23"/>
      <c r="H153" s="23">
        <v>150</v>
      </c>
      <c r="I153" s="27"/>
      <c r="J153" s="24">
        <f t="shared" si="14"/>
        <v>11529.1</v>
      </c>
      <c r="K153" s="24">
        <f t="shared" si="15"/>
        <v>52597.11</v>
      </c>
    </row>
    <row r="154" spans="2:11" x14ac:dyDescent="0.25">
      <c r="B154" s="31">
        <v>42733</v>
      </c>
      <c r="C154" s="21" t="s">
        <v>1396</v>
      </c>
      <c r="D154" s="23"/>
      <c r="E154" s="23"/>
      <c r="F154" s="23"/>
      <c r="G154" s="23"/>
      <c r="H154" s="23">
        <v>360.26</v>
      </c>
      <c r="I154" s="27"/>
      <c r="J154" s="24">
        <f t="shared" si="14"/>
        <v>11529.1</v>
      </c>
      <c r="K154" s="24">
        <f t="shared" si="15"/>
        <v>52236.85</v>
      </c>
    </row>
    <row r="155" spans="2:11" x14ac:dyDescent="0.25">
      <c r="B155" s="31">
        <v>42733</v>
      </c>
      <c r="C155" s="21" t="s">
        <v>1397</v>
      </c>
      <c r="D155" s="23"/>
      <c r="E155" s="23"/>
      <c r="F155" s="23"/>
      <c r="G155" s="23"/>
      <c r="H155" s="153">
        <v>390</v>
      </c>
      <c r="I155" s="27"/>
      <c r="J155" s="24">
        <f t="shared" si="14"/>
        <v>11529.1</v>
      </c>
      <c r="K155" s="24">
        <f t="shared" si="15"/>
        <v>51846.85</v>
      </c>
    </row>
    <row r="156" spans="2:11" x14ac:dyDescent="0.25">
      <c r="B156" s="31">
        <v>42733</v>
      </c>
      <c r="C156" s="21" t="s">
        <v>1399</v>
      </c>
      <c r="D156" s="23"/>
      <c r="E156" s="23"/>
      <c r="F156" s="23"/>
      <c r="G156" s="23"/>
      <c r="H156" s="23">
        <v>143</v>
      </c>
      <c r="I156" s="27"/>
      <c r="J156" s="24">
        <f t="shared" si="14"/>
        <v>11529.1</v>
      </c>
      <c r="K156" s="24">
        <f t="shared" si="15"/>
        <v>51703.85</v>
      </c>
    </row>
    <row r="157" spans="2:11" x14ac:dyDescent="0.25">
      <c r="B157" s="31">
        <v>42733</v>
      </c>
      <c r="C157" s="21" t="s">
        <v>1398</v>
      </c>
      <c r="D157" s="23"/>
      <c r="E157" s="23"/>
      <c r="F157" s="23"/>
      <c r="G157" s="23"/>
      <c r="H157" s="23">
        <v>86</v>
      </c>
      <c r="I157" s="27"/>
      <c r="J157" s="24">
        <f t="shared" si="14"/>
        <v>11529.1</v>
      </c>
      <c r="K157" s="24">
        <f t="shared" si="15"/>
        <v>51617.85</v>
      </c>
    </row>
    <row r="158" spans="2:11" x14ac:dyDescent="0.25">
      <c r="B158" s="31">
        <v>42733</v>
      </c>
      <c r="C158" s="21" t="s">
        <v>1400</v>
      </c>
      <c r="D158" s="23"/>
      <c r="E158" s="23"/>
      <c r="F158" s="23"/>
      <c r="G158" s="23"/>
      <c r="H158" s="23">
        <v>197</v>
      </c>
      <c r="I158" s="27"/>
      <c r="J158" s="24">
        <f t="shared" si="14"/>
        <v>11529.1</v>
      </c>
      <c r="K158" s="24">
        <f t="shared" si="15"/>
        <v>51420.85</v>
      </c>
    </row>
    <row r="159" spans="2:11" x14ac:dyDescent="0.25">
      <c r="B159" s="31">
        <v>42733</v>
      </c>
      <c r="C159" s="21" t="s">
        <v>1401</v>
      </c>
      <c r="D159" s="23"/>
      <c r="E159" s="23"/>
      <c r="F159" s="23"/>
      <c r="G159" s="23"/>
      <c r="H159" s="23">
        <v>25.5</v>
      </c>
      <c r="I159" s="27"/>
      <c r="J159" s="24">
        <f t="shared" si="14"/>
        <v>11529.1</v>
      </c>
      <c r="K159" s="24">
        <f t="shared" si="15"/>
        <v>51395.35</v>
      </c>
    </row>
    <row r="160" spans="2:11" x14ac:dyDescent="0.25">
      <c r="B160" s="31">
        <v>42734</v>
      </c>
      <c r="C160" s="21" t="s">
        <v>1307</v>
      </c>
      <c r="D160" s="23"/>
      <c r="E160" s="23"/>
      <c r="F160" s="23"/>
      <c r="G160" s="23"/>
      <c r="H160" s="23">
        <v>174.5</v>
      </c>
      <c r="I160" s="27"/>
      <c r="J160" s="24">
        <f>+J159+E160-G160</f>
        <v>11529.1</v>
      </c>
      <c r="K160" s="24">
        <f>+K159+D160-H160</f>
        <v>51220.85</v>
      </c>
    </row>
    <row r="161" spans="2:11" x14ac:dyDescent="0.25">
      <c r="B161" s="31">
        <v>42734</v>
      </c>
      <c r="C161" s="21" t="s">
        <v>1402</v>
      </c>
      <c r="D161" s="23"/>
      <c r="E161" s="23"/>
      <c r="F161" s="23"/>
      <c r="G161" s="23"/>
      <c r="H161" s="23">
        <v>400</v>
      </c>
      <c r="I161" s="27"/>
      <c r="J161" s="24">
        <f t="shared" ref="J161:J164" si="16">+J160+E161-G161</f>
        <v>11529.1</v>
      </c>
      <c r="K161" s="24">
        <f t="shared" ref="K161:K164" si="17">+K160+D161-H161</f>
        <v>50820.85</v>
      </c>
    </row>
    <row r="162" spans="2:11" x14ac:dyDescent="0.25">
      <c r="B162" s="31">
        <v>42734</v>
      </c>
      <c r="C162" s="21" t="s">
        <v>1403</v>
      </c>
      <c r="D162" s="23"/>
      <c r="E162" s="23"/>
      <c r="F162" s="23"/>
      <c r="G162" s="23"/>
      <c r="H162" s="23">
        <v>1000</v>
      </c>
      <c r="I162" s="27"/>
      <c r="J162" s="24">
        <f t="shared" si="16"/>
        <v>11529.1</v>
      </c>
      <c r="K162" s="24">
        <f t="shared" si="17"/>
        <v>49820.85</v>
      </c>
    </row>
    <row r="163" spans="2:11" x14ac:dyDescent="0.25">
      <c r="B163" s="31">
        <v>42735</v>
      </c>
      <c r="C163" s="21" t="s">
        <v>1404</v>
      </c>
      <c r="D163" s="23"/>
      <c r="E163" s="23"/>
      <c r="F163" s="23"/>
      <c r="G163" s="23"/>
      <c r="H163" s="23">
        <v>1413</v>
      </c>
      <c r="I163" s="27"/>
      <c r="J163" s="24">
        <f t="shared" si="16"/>
        <v>11529.1</v>
      </c>
      <c r="K163" s="24">
        <f t="shared" si="17"/>
        <v>48407.85</v>
      </c>
    </row>
    <row r="164" spans="2:11" ht="15.75" thickBot="1" x14ac:dyDescent="0.3">
      <c r="B164" s="31">
        <v>42735</v>
      </c>
      <c r="C164" s="21" t="s">
        <v>1405</v>
      </c>
      <c r="D164" s="23"/>
      <c r="E164" s="23"/>
      <c r="F164" s="23"/>
      <c r="G164" s="23"/>
      <c r="H164" s="23">
        <v>500</v>
      </c>
      <c r="I164" s="27"/>
      <c r="J164" s="24">
        <f t="shared" si="16"/>
        <v>11529.1</v>
      </c>
      <c r="K164" s="24">
        <f t="shared" si="17"/>
        <v>47907.85</v>
      </c>
    </row>
    <row r="165" spans="2:11" ht="15.75" thickBot="1" x14ac:dyDescent="0.3">
      <c r="B165" s="13"/>
      <c r="C165" s="16" t="s">
        <v>0</v>
      </c>
      <c r="D165" s="105">
        <f>SUM(D113:D164)</f>
        <v>114725</v>
      </c>
      <c r="E165" s="103">
        <f>SUM(E113:E164)</f>
        <v>14460.9</v>
      </c>
      <c r="F165" s="114">
        <f>SUM(D165:E165)</f>
        <v>129185.9</v>
      </c>
      <c r="G165" s="126">
        <f>SUM(G113:G164)</f>
        <v>23343</v>
      </c>
      <c r="H165" s="105">
        <f>SUM(H113:H164)</f>
        <v>97226.04</v>
      </c>
      <c r="I165" s="114">
        <f>SUM(G165:H165)</f>
        <v>120569.04</v>
      </c>
      <c r="J165" s="33"/>
      <c r="K165" s="33"/>
    </row>
    <row r="166" spans="2:11" x14ac:dyDescent="0.25">
      <c r="B166" s="111" t="s">
        <v>1</v>
      </c>
      <c r="C166" s="111" t="s">
        <v>2</v>
      </c>
      <c r="D166" s="111" t="s">
        <v>3</v>
      </c>
      <c r="E166" s="111" t="s">
        <v>3</v>
      </c>
      <c r="F166" s="111" t="s">
        <v>323</v>
      </c>
      <c r="G166" s="111" t="s">
        <v>324</v>
      </c>
      <c r="H166" s="81" t="s">
        <v>324</v>
      </c>
      <c r="I166" s="81" t="s">
        <v>323</v>
      </c>
      <c r="J166" s="111" t="s">
        <v>174</v>
      </c>
      <c r="K166" s="81" t="s">
        <v>173</v>
      </c>
    </row>
    <row r="167" spans="2:11" ht="15.75" thickBot="1" x14ac:dyDescent="0.3">
      <c r="B167" s="112"/>
      <c r="C167" s="112"/>
      <c r="D167" s="112" t="s">
        <v>6</v>
      </c>
      <c r="E167" s="112" t="s">
        <v>325</v>
      </c>
      <c r="F167" s="112" t="s">
        <v>3</v>
      </c>
      <c r="G167" s="112" t="s">
        <v>325</v>
      </c>
      <c r="H167" s="113" t="s">
        <v>6</v>
      </c>
      <c r="I167" s="113" t="s">
        <v>5</v>
      </c>
      <c r="J167" s="112"/>
      <c r="K167" s="113"/>
    </row>
    <row r="168" spans="2:11" ht="15.75" thickBot="1" x14ac:dyDescent="0.3">
      <c r="B168" s="13"/>
      <c r="C168" s="16" t="s">
        <v>0</v>
      </c>
      <c r="D168" s="105">
        <v>114725</v>
      </c>
      <c r="E168" s="103">
        <v>14460.9</v>
      </c>
      <c r="F168" s="114">
        <f>SUM(D168:E168)</f>
        <v>129185.9</v>
      </c>
      <c r="G168" s="126">
        <v>23343</v>
      </c>
      <c r="H168" s="105">
        <v>97226.04</v>
      </c>
      <c r="I168" s="114">
        <f>SUM(G168:H168)</f>
        <v>120569.04</v>
      </c>
      <c r="J168" s="32">
        <v>11529.1</v>
      </c>
      <c r="K168" s="32">
        <v>47907.85</v>
      </c>
    </row>
    <row r="169" spans="2:11" x14ac:dyDescent="0.25">
      <c r="B169" s="31">
        <v>42735</v>
      </c>
      <c r="C169" s="21" t="s">
        <v>1406</v>
      </c>
      <c r="D169" s="23"/>
      <c r="E169" s="23"/>
      <c r="F169" s="23"/>
      <c r="G169" s="23"/>
      <c r="H169" s="23">
        <v>200</v>
      </c>
      <c r="I169" s="27"/>
      <c r="J169" s="24">
        <f t="shared" ref="J169" si="18">+J168+E169-G169</f>
        <v>11529.1</v>
      </c>
      <c r="K169" s="24">
        <f t="shared" ref="K169" si="19">+K168+D169-H169</f>
        <v>47707.85</v>
      </c>
    </row>
    <row r="170" spans="2:11" x14ac:dyDescent="0.25">
      <c r="B170" s="31">
        <v>42735</v>
      </c>
      <c r="C170" s="21" t="s">
        <v>1388</v>
      </c>
      <c r="D170" s="23"/>
      <c r="E170" s="23"/>
      <c r="F170" s="23"/>
      <c r="G170" s="23"/>
      <c r="H170" s="23">
        <v>500</v>
      </c>
      <c r="I170" s="27"/>
      <c r="J170" s="24">
        <f t="shared" ref="J170:J177" si="20">+J169+E170-G170</f>
        <v>11529.1</v>
      </c>
      <c r="K170" s="24">
        <f t="shared" ref="K170:K177" si="21">+K169+D170-H170</f>
        <v>47207.85</v>
      </c>
    </row>
    <row r="171" spans="2:11" x14ac:dyDescent="0.25">
      <c r="B171" s="31">
        <v>42735</v>
      </c>
      <c r="C171" s="21" t="s">
        <v>1392</v>
      </c>
      <c r="D171" s="23"/>
      <c r="E171" s="23"/>
      <c r="F171" s="23"/>
      <c r="G171" s="23"/>
      <c r="H171" s="23">
        <v>450</v>
      </c>
      <c r="I171" s="27"/>
      <c r="J171" s="24">
        <f t="shared" si="20"/>
        <v>11529.1</v>
      </c>
      <c r="K171" s="24">
        <f t="shared" si="21"/>
        <v>46757.85</v>
      </c>
    </row>
    <row r="172" spans="2:11" x14ac:dyDescent="0.25">
      <c r="B172" s="31">
        <v>42735</v>
      </c>
      <c r="C172" s="21" t="s">
        <v>1393</v>
      </c>
      <c r="D172" s="23"/>
      <c r="E172" s="23"/>
      <c r="F172" s="23"/>
      <c r="G172" s="23"/>
      <c r="H172" s="23">
        <v>300</v>
      </c>
      <c r="I172" s="27"/>
      <c r="J172" s="24">
        <f t="shared" si="20"/>
        <v>11529.1</v>
      </c>
      <c r="K172" s="24">
        <f t="shared" si="21"/>
        <v>46457.85</v>
      </c>
    </row>
    <row r="173" spans="2:11" x14ac:dyDescent="0.25">
      <c r="B173" s="31">
        <v>42735</v>
      </c>
      <c r="C173" s="21" t="s">
        <v>1394</v>
      </c>
      <c r="D173" s="23"/>
      <c r="E173" s="23"/>
      <c r="F173" s="23"/>
      <c r="G173" s="23"/>
      <c r="H173" s="23">
        <v>29000</v>
      </c>
      <c r="I173" s="27"/>
      <c r="J173" s="24">
        <f t="shared" si="20"/>
        <v>11529.1</v>
      </c>
      <c r="K173" s="24">
        <f t="shared" si="21"/>
        <v>17457.849999999999</v>
      </c>
    </row>
    <row r="174" spans="2:11" x14ac:dyDescent="0.25">
      <c r="B174" s="31">
        <v>42735</v>
      </c>
      <c r="C174" s="21" t="s">
        <v>1395</v>
      </c>
      <c r="D174" s="23"/>
      <c r="E174" s="23"/>
      <c r="F174" s="23"/>
      <c r="G174" s="23"/>
      <c r="H174" s="23">
        <v>4000</v>
      </c>
      <c r="I174" s="27"/>
      <c r="J174" s="24">
        <f t="shared" si="20"/>
        <v>11529.1</v>
      </c>
      <c r="K174" s="24">
        <f t="shared" si="21"/>
        <v>13457.849999999999</v>
      </c>
    </row>
    <row r="175" spans="2:11" x14ac:dyDescent="0.25">
      <c r="B175" s="31">
        <v>42735</v>
      </c>
      <c r="C175" s="21" t="s">
        <v>1407</v>
      </c>
      <c r="D175" s="23">
        <v>7850</v>
      </c>
      <c r="E175" s="23"/>
      <c r="F175" s="23"/>
      <c r="G175" s="23"/>
      <c r="H175" s="23"/>
      <c r="I175" s="27"/>
      <c r="J175" s="24">
        <f t="shared" si="20"/>
        <v>11529.1</v>
      </c>
      <c r="K175" s="24">
        <f t="shared" si="21"/>
        <v>21307.85</v>
      </c>
    </row>
    <row r="176" spans="2:11" x14ac:dyDescent="0.25">
      <c r="B176" s="31">
        <v>42734</v>
      </c>
      <c r="C176" s="21" t="s">
        <v>1258</v>
      </c>
      <c r="D176" s="23"/>
      <c r="E176" s="23"/>
      <c r="F176" s="23"/>
      <c r="G176" s="23">
        <v>70</v>
      </c>
      <c r="H176" s="23"/>
      <c r="I176" s="27"/>
      <c r="J176" s="24">
        <f t="shared" si="20"/>
        <v>11459.1</v>
      </c>
      <c r="K176" s="24">
        <f t="shared" si="21"/>
        <v>21307.85</v>
      </c>
    </row>
    <row r="177" spans="2:11" x14ac:dyDescent="0.25">
      <c r="B177" s="31">
        <v>42734</v>
      </c>
      <c r="C177" s="21" t="s">
        <v>1259</v>
      </c>
      <c r="D177" s="23"/>
      <c r="E177" s="23"/>
      <c r="F177" s="23"/>
      <c r="G177" s="23">
        <v>11.2</v>
      </c>
      <c r="H177" s="23"/>
      <c r="I177" s="27"/>
      <c r="J177" s="24">
        <f t="shared" si="20"/>
        <v>11447.9</v>
      </c>
      <c r="K177" s="24">
        <f t="shared" si="21"/>
        <v>21307.85</v>
      </c>
    </row>
    <row r="178" spans="2:11" ht="15.75" thickBot="1" x14ac:dyDescent="0.3">
      <c r="B178" s="31">
        <v>42720</v>
      </c>
      <c r="C178" s="21" t="s">
        <v>1286</v>
      </c>
      <c r="D178" s="23"/>
      <c r="E178" s="23"/>
      <c r="F178" s="23">
        <v>-1760</v>
      </c>
      <c r="G178" s="23"/>
      <c r="H178" s="23"/>
      <c r="I178" s="27">
        <v>-1760.9</v>
      </c>
      <c r="J178" s="24">
        <f>+J177+E178-G178</f>
        <v>11447.9</v>
      </c>
      <c r="K178" s="24">
        <f>+K177+D178-H178</f>
        <v>21307.85</v>
      </c>
    </row>
    <row r="179" spans="2:11" ht="15.75" thickBot="1" x14ac:dyDescent="0.3">
      <c r="B179" s="13"/>
      <c r="C179" s="16" t="s">
        <v>0</v>
      </c>
      <c r="D179" s="105">
        <f>SUM(D168:D178)</f>
        <v>122575</v>
      </c>
      <c r="E179" s="103">
        <f>SUM(E168:E178)</f>
        <v>14460.9</v>
      </c>
      <c r="F179" s="114">
        <f>SUM(D179:E179)</f>
        <v>137035.9</v>
      </c>
      <c r="G179" s="126">
        <f>SUM(G168:G178)</f>
        <v>23424.2</v>
      </c>
      <c r="H179" s="105">
        <f>SUM(H168:H178)</f>
        <v>131676.03999999998</v>
      </c>
      <c r="I179" s="114">
        <f>SUM(G179:H179)</f>
        <v>155100.24</v>
      </c>
      <c r="J179" s="33"/>
      <c r="K179" s="33"/>
    </row>
    <row r="180" spans="2:11" x14ac:dyDescent="0.25">
      <c r="F180" s="1">
        <v>135275.9</v>
      </c>
      <c r="I180" s="1">
        <v>153349.34</v>
      </c>
    </row>
    <row r="181" spans="2:11" ht="15.75" thickBot="1" x14ac:dyDescent="0.3"/>
    <row r="182" spans="2:11" ht="15.75" thickBot="1" x14ac:dyDescent="0.3">
      <c r="I182" s="117" t="s">
        <v>174</v>
      </c>
      <c r="J182" s="117" t="s">
        <v>173</v>
      </c>
      <c r="K182" s="141" t="s">
        <v>0</v>
      </c>
    </row>
    <row r="183" spans="2:11" ht="15.75" thickBot="1" x14ac:dyDescent="0.3">
      <c r="I183" s="120">
        <v>11447.9</v>
      </c>
      <c r="J183" s="120">
        <v>21307.85</v>
      </c>
      <c r="K183" s="33">
        <f>SUM(I183:J183)</f>
        <v>32755.75</v>
      </c>
    </row>
  </sheetData>
  <printOptions verticalCentered="1"/>
  <pageMargins left="0.70866141732283472" right="0" top="0.39370078740157483" bottom="0" header="0.31496062992125984" footer="0.31496062992125984"/>
  <pageSetup paperSize="9" scale="69" fitToHeight="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B1:N27"/>
  <sheetViews>
    <sheetView workbookViewId="0">
      <selection activeCell="I15" sqref="I15"/>
    </sheetView>
  </sheetViews>
  <sheetFormatPr baseColWidth="10" defaultRowHeight="15" x14ac:dyDescent="0.25"/>
  <cols>
    <col min="6" max="6" width="0" hidden="1" customWidth="1"/>
    <col min="10" max="10" width="0" hidden="1" customWidth="1"/>
  </cols>
  <sheetData>
    <row r="1" spans="2:14" ht="28.5" x14ac:dyDescent="0.45">
      <c r="B1" s="45"/>
      <c r="C1" s="79" t="s">
        <v>680</v>
      </c>
      <c r="D1" s="79"/>
      <c r="E1" s="79"/>
      <c r="F1" s="140"/>
      <c r="G1" s="140"/>
      <c r="H1" s="140"/>
      <c r="I1" s="140"/>
      <c r="J1" s="79"/>
      <c r="K1" s="79"/>
      <c r="L1" s="79"/>
      <c r="M1" s="79"/>
    </row>
    <row r="2" spans="2:14" ht="15.75" thickBot="1" x14ac:dyDescent="0.3">
      <c r="B2" s="154"/>
      <c r="C2" s="154"/>
      <c r="D2" s="154"/>
      <c r="E2" s="154"/>
      <c r="F2" s="154"/>
      <c r="G2" s="154"/>
      <c r="H2" s="154"/>
      <c r="I2" s="154"/>
      <c r="J2" s="128"/>
      <c r="K2" s="77"/>
      <c r="L2" s="128"/>
      <c r="M2" s="128"/>
    </row>
    <row r="3" spans="2:14" ht="15.75" thickBot="1" x14ac:dyDescent="0.3">
      <c r="C3" s="48"/>
      <c r="D3" s="48"/>
      <c r="N3" s="111" t="s">
        <v>674</v>
      </c>
    </row>
    <row r="4" spans="2:14" ht="15.75" thickBot="1" x14ac:dyDescent="0.3">
      <c r="B4" s="6" t="s">
        <v>1</v>
      </c>
      <c r="C4" s="11" t="s">
        <v>2</v>
      </c>
      <c r="D4" s="6" t="s">
        <v>3</v>
      </c>
      <c r="E4" s="7" t="s">
        <v>5</v>
      </c>
      <c r="F4" s="80"/>
      <c r="G4" s="80" t="s">
        <v>670</v>
      </c>
      <c r="H4" s="80" t="s">
        <v>671</v>
      </c>
      <c r="I4" s="80" t="s">
        <v>173</v>
      </c>
      <c r="J4" s="130"/>
      <c r="K4" s="81" t="s">
        <v>174</v>
      </c>
      <c r="L4" s="81" t="s">
        <v>672</v>
      </c>
      <c r="M4" s="133" t="s">
        <v>673</v>
      </c>
      <c r="N4" s="117" t="s">
        <v>675</v>
      </c>
    </row>
    <row r="5" spans="2:14" ht="15.75" thickBot="1" x14ac:dyDescent="0.3">
      <c r="B5" s="35"/>
      <c r="C5" s="82" t="s">
        <v>175</v>
      </c>
      <c r="D5" s="83"/>
      <c r="E5" s="20"/>
      <c r="F5" s="107">
        <v>3799.82</v>
      </c>
      <c r="G5" s="107"/>
      <c r="H5" s="107"/>
      <c r="I5" s="84">
        <v>3799.82</v>
      </c>
      <c r="J5" s="84"/>
      <c r="K5" s="24"/>
      <c r="L5" s="24"/>
      <c r="M5" s="24"/>
      <c r="N5" s="134"/>
    </row>
    <row r="6" spans="2:14" x14ac:dyDescent="0.25">
      <c r="B6" s="35">
        <v>42370</v>
      </c>
      <c r="C6" s="85" t="s">
        <v>176</v>
      </c>
      <c r="D6" s="23">
        <v>151565</v>
      </c>
      <c r="E6" s="23">
        <v>114325.83</v>
      </c>
      <c r="F6" s="129">
        <f>SUM(F5+D6-E6)</f>
        <v>41038.990000000005</v>
      </c>
      <c r="G6" s="129"/>
      <c r="H6" s="129"/>
      <c r="I6" s="84">
        <f>+I5+D6-E6</f>
        <v>41038.990000000005</v>
      </c>
      <c r="J6" s="84"/>
      <c r="K6" s="24"/>
      <c r="L6" s="24"/>
      <c r="M6" s="24"/>
      <c r="N6" s="25"/>
    </row>
    <row r="7" spans="2:14" x14ac:dyDescent="0.25">
      <c r="B7" s="31">
        <v>42401</v>
      </c>
      <c r="C7" s="86" t="s">
        <v>177</v>
      </c>
      <c r="D7" s="28">
        <v>114584.5</v>
      </c>
      <c r="E7" s="23">
        <v>124184.41</v>
      </c>
      <c r="F7" s="129">
        <f t="shared" ref="F7:F11" si="0">SUM(F6+D7-E7)</f>
        <v>31439.079999999987</v>
      </c>
      <c r="G7" s="129">
        <v>61060.29</v>
      </c>
      <c r="H7" s="129"/>
      <c r="I7" s="84">
        <v>31439.08</v>
      </c>
      <c r="J7" s="84"/>
      <c r="K7" s="24">
        <v>61060.29</v>
      </c>
      <c r="L7" s="24"/>
      <c r="M7" s="24"/>
      <c r="N7" s="25"/>
    </row>
    <row r="8" spans="2:14" x14ac:dyDescent="0.25">
      <c r="B8" s="31">
        <v>42430</v>
      </c>
      <c r="C8" s="87" t="s">
        <v>178</v>
      </c>
      <c r="D8" s="28">
        <v>73095</v>
      </c>
      <c r="E8" s="23">
        <v>102590.53</v>
      </c>
      <c r="F8" s="129">
        <f t="shared" si="0"/>
        <v>1943.5499999999884</v>
      </c>
      <c r="G8" s="129">
        <v>16561.11</v>
      </c>
      <c r="H8" s="129">
        <v>4416.24</v>
      </c>
      <c r="I8" s="84">
        <v>1943.55</v>
      </c>
      <c r="J8" s="84">
        <f>SUM(G7+G8-H8)</f>
        <v>73205.159999999989</v>
      </c>
      <c r="K8" s="24">
        <v>73205.16</v>
      </c>
      <c r="L8" s="24">
        <f>SUM(D8+G8)</f>
        <v>89656.11</v>
      </c>
      <c r="M8" s="24">
        <f>SUM(E8+H8)</f>
        <v>107006.77</v>
      </c>
      <c r="N8" s="131">
        <f>SUM(L8-M8)</f>
        <v>-17350.660000000003</v>
      </c>
    </row>
    <row r="9" spans="2:14" x14ac:dyDescent="0.25">
      <c r="B9" s="31">
        <v>42461</v>
      </c>
      <c r="C9" s="88" t="s">
        <v>179</v>
      </c>
      <c r="D9" s="23">
        <v>81055</v>
      </c>
      <c r="E9" s="23">
        <v>79032.37</v>
      </c>
      <c r="F9" s="129">
        <f t="shared" si="0"/>
        <v>3966.179999999993</v>
      </c>
      <c r="G9" s="129">
        <v>29020.46</v>
      </c>
      <c r="H9" s="129">
        <v>39549.440000000002</v>
      </c>
      <c r="I9" s="84">
        <v>3966.18</v>
      </c>
      <c r="J9" s="84">
        <f>SUM(J8+G9-H9)</f>
        <v>62676.179999999993</v>
      </c>
      <c r="K9" s="24">
        <v>62676.18</v>
      </c>
      <c r="L9" s="24">
        <f t="shared" ref="L9:L11" si="1">SUM(D9+G9)</f>
        <v>110075.45999999999</v>
      </c>
      <c r="M9" s="24">
        <f t="shared" ref="M9:M11" si="2">SUM(E9+H9)</f>
        <v>118581.81</v>
      </c>
      <c r="N9" s="131">
        <f t="shared" ref="N9:N11" si="3">SUM(L9-M9)</f>
        <v>-8506.3500000000058</v>
      </c>
    </row>
    <row r="10" spans="2:14" x14ac:dyDescent="0.25">
      <c r="B10" s="31">
        <v>42491</v>
      </c>
      <c r="C10" s="88" t="s">
        <v>180</v>
      </c>
      <c r="D10" s="23">
        <v>103745</v>
      </c>
      <c r="E10" s="23">
        <v>104081.9</v>
      </c>
      <c r="F10" s="129">
        <f>SUM(F9+D10-E10)</f>
        <v>3629.2799999999988</v>
      </c>
      <c r="G10" s="129">
        <v>15060.46</v>
      </c>
      <c r="H10" s="129">
        <v>18515.2</v>
      </c>
      <c r="I10" s="84">
        <v>3629.28</v>
      </c>
      <c r="J10" s="84">
        <f t="shared" ref="J10:J11" si="4">SUM(J9+G10-H10)</f>
        <v>59221.439999999988</v>
      </c>
      <c r="K10" s="24">
        <v>59221.440000000002</v>
      </c>
      <c r="L10" s="24">
        <f t="shared" si="1"/>
        <v>118805.45999999999</v>
      </c>
      <c r="M10" s="24">
        <f t="shared" si="2"/>
        <v>122597.09999999999</v>
      </c>
      <c r="N10" s="131">
        <f t="shared" si="3"/>
        <v>-3791.6399999999994</v>
      </c>
    </row>
    <row r="11" spans="2:14" x14ac:dyDescent="0.25">
      <c r="B11" s="38">
        <v>42522</v>
      </c>
      <c r="C11" s="91" t="s">
        <v>181</v>
      </c>
      <c r="D11" s="92">
        <v>135735</v>
      </c>
      <c r="E11" s="92">
        <v>108304.15</v>
      </c>
      <c r="F11" s="129">
        <f t="shared" si="0"/>
        <v>31060.130000000005</v>
      </c>
      <c r="G11" s="129">
        <v>13060.46</v>
      </c>
      <c r="H11" s="129">
        <v>19346.439999999999</v>
      </c>
      <c r="I11" s="84">
        <v>31060.13</v>
      </c>
      <c r="J11" s="84">
        <f t="shared" si="4"/>
        <v>52935.459999999992</v>
      </c>
      <c r="K11" s="24">
        <v>52935.46</v>
      </c>
      <c r="L11" s="24">
        <f t="shared" si="1"/>
        <v>148795.46</v>
      </c>
      <c r="M11" s="24">
        <f t="shared" si="2"/>
        <v>127650.59</v>
      </c>
      <c r="N11" s="132">
        <f t="shared" si="3"/>
        <v>21144.869999999995</v>
      </c>
    </row>
    <row r="12" spans="2:14" x14ac:dyDescent="0.25">
      <c r="B12" s="38">
        <v>42552</v>
      </c>
      <c r="C12" s="91" t="s">
        <v>182</v>
      </c>
      <c r="D12" s="92"/>
      <c r="E12" s="92"/>
      <c r="F12" s="129"/>
      <c r="G12" s="129"/>
      <c r="H12" s="129"/>
      <c r="I12" s="84"/>
      <c r="J12" s="84"/>
      <c r="K12" s="24"/>
      <c r="L12" s="24"/>
      <c r="M12" s="24"/>
      <c r="N12" s="25"/>
    </row>
    <row r="13" spans="2:14" x14ac:dyDescent="0.25">
      <c r="B13" s="31">
        <v>42583</v>
      </c>
      <c r="C13" s="88" t="s">
        <v>183</v>
      </c>
      <c r="D13" s="23"/>
      <c r="E13" s="23"/>
      <c r="F13" s="129"/>
      <c r="G13" s="129"/>
      <c r="H13" s="129"/>
      <c r="I13" s="84"/>
      <c r="J13" s="84"/>
      <c r="K13" s="24"/>
      <c r="L13" s="24"/>
      <c r="M13" s="24"/>
      <c r="N13" s="25"/>
    </row>
    <row r="14" spans="2:14" x14ac:dyDescent="0.25">
      <c r="B14" s="31">
        <v>42583</v>
      </c>
      <c r="C14" s="88" t="s">
        <v>183</v>
      </c>
      <c r="D14" s="23"/>
      <c r="E14" s="23"/>
      <c r="F14" s="129"/>
      <c r="G14" s="129"/>
      <c r="H14" s="129"/>
      <c r="I14" s="84"/>
      <c r="J14" s="84"/>
      <c r="K14" s="24"/>
      <c r="L14" s="24"/>
      <c r="M14" s="24"/>
      <c r="N14" s="25"/>
    </row>
    <row r="15" spans="2:14" x14ac:dyDescent="0.25">
      <c r="B15" s="31">
        <v>42614</v>
      </c>
      <c r="C15" s="89" t="s">
        <v>184</v>
      </c>
      <c r="D15" s="23"/>
      <c r="E15" s="23"/>
      <c r="F15" s="129"/>
      <c r="G15" s="129"/>
      <c r="H15" s="129"/>
      <c r="I15" s="84"/>
      <c r="J15" s="84"/>
      <c r="K15" s="24"/>
      <c r="L15" s="24"/>
      <c r="M15" s="24"/>
      <c r="N15" s="25"/>
    </row>
    <row r="16" spans="2:14" x14ac:dyDescent="0.25">
      <c r="B16" s="31">
        <v>42644</v>
      </c>
      <c r="C16" s="88" t="s">
        <v>185</v>
      </c>
      <c r="D16" s="23"/>
      <c r="E16" s="23"/>
      <c r="F16" s="129"/>
      <c r="G16" s="129"/>
      <c r="H16" s="129"/>
      <c r="I16" s="84"/>
      <c r="J16" s="84"/>
      <c r="K16" s="24"/>
      <c r="L16" s="24"/>
      <c r="M16" s="24"/>
      <c r="N16" s="25"/>
    </row>
    <row r="17" spans="2:14" x14ac:dyDescent="0.25">
      <c r="B17" s="31">
        <v>42645</v>
      </c>
      <c r="C17" s="89" t="s">
        <v>186</v>
      </c>
      <c r="D17" s="23"/>
      <c r="E17" s="23"/>
      <c r="F17" s="129"/>
      <c r="G17" s="129"/>
      <c r="H17" s="129"/>
      <c r="I17" s="84"/>
      <c r="J17" s="84"/>
      <c r="K17" s="24"/>
      <c r="L17" s="24"/>
      <c r="M17" s="24"/>
      <c r="N17" s="25"/>
    </row>
    <row r="18" spans="2:14" ht="15.75" thickBot="1" x14ac:dyDescent="0.3">
      <c r="B18" s="31">
        <v>42646</v>
      </c>
      <c r="C18" s="88" t="s">
        <v>187</v>
      </c>
      <c r="D18" s="23"/>
      <c r="E18" s="23"/>
      <c r="F18" s="129"/>
      <c r="G18" s="129"/>
      <c r="H18" s="129"/>
      <c r="I18" s="84"/>
      <c r="J18" s="84"/>
      <c r="K18" s="24"/>
      <c r="L18" s="24"/>
      <c r="M18" s="24"/>
      <c r="N18" s="25"/>
    </row>
    <row r="19" spans="2:14" ht="15.75" thickBot="1" x14ac:dyDescent="0.3">
      <c r="B19" s="47"/>
      <c r="C19" s="16" t="s">
        <v>0</v>
      </c>
      <c r="D19" s="14">
        <f>SUM(D5:D18)</f>
        <v>659779.5</v>
      </c>
      <c r="E19" s="14">
        <f>SUM(E6:E18)</f>
        <v>632519.19000000006</v>
      </c>
      <c r="F19" s="103"/>
      <c r="G19" s="103"/>
      <c r="H19" s="103"/>
      <c r="I19" s="32"/>
      <c r="J19" s="51"/>
      <c r="K19" s="51"/>
      <c r="L19" s="51"/>
      <c r="M19" s="51"/>
    </row>
    <row r="21" spans="2:14" ht="15.75" thickBot="1" x14ac:dyDescent="0.3"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2:14" ht="15.75" thickBot="1" x14ac:dyDescent="0.3">
      <c r="B22" s="137"/>
    </row>
    <row r="23" spans="2:14" x14ac:dyDescent="0.25">
      <c r="B23" s="90" t="s">
        <v>676</v>
      </c>
      <c r="C23" s="90"/>
      <c r="D23" s="90"/>
      <c r="E23" s="90"/>
    </row>
    <row r="24" spans="2:14" x14ac:dyDescent="0.25">
      <c r="B24" s="90" t="s">
        <v>677</v>
      </c>
      <c r="C24" s="90"/>
      <c r="D24" s="90"/>
      <c r="E24" s="90"/>
    </row>
    <row r="25" spans="2:14" x14ac:dyDescent="0.25">
      <c r="B25" s="90" t="s">
        <v>678</v>
      </c>
      <c r="C25" s="90"/>
      <c r="D25" s="90"/>
      <c r="E25" s="90"/>
      <c r="G25" s="136"/>
      <c r="H25" s="135"/>
    </row>
    <row r="26" spans="2:14" x14ac:dyDescent="0.25">
      <c r="B26" s="138" t="s">
        <v>679</v>
      </c>
      <c r="H26" s="135"/>
      <c r="I26" s="90"/>
      <c r="J26" s="90"/>
      <c r="K26" s="90"/>
    </row>
    <row r="27" spans="2:14" x14ac:dyDescent="0.25">
      <c r="B27" s="139">
        <v>2955.13</v>
      </c>
      <c r="I27" s="90"/>
      <c r="J27" s="90"/>
      <c r="K27" s="90"/>
    </row>
  </sheetData>
  <mergeCells count="1">
    <mergeCell ref="B2:I2"/>
  </mergeCells>
  <pageMargins left="0" right="0.31496062992125984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15</vt:i4>
      </vt:variant>
    </vt:vector>
  </HeadingPairs>
  <TitlesOfParts>
    <vt:vector size="30" baseType="lpstr">
      <vt:lpstr>ENERO-16 </vt:lpstr>
      <vt:lpstr>ENERO-16  (1)</vt:lpstr>
      <vt:lpstr>FEBRERO-16</vt:lpstr>
      <vt:lpstr>FEBRERO-16 (2)</vt:lpstr>
      <vt:lpstr>MARZO-16 (1)</vt:lpstr>
      <vt:lpstr>ABRIL-16(1)</vt:lpstr>
      <vt:lpstr>MAYO-16</vt:lpstr>
      <vt:lpstr>JUNIO-16</vt:lpstr>
      <vt:lpstr>JULIO-16</vt:lpstr>
      <vt:lpstr>AGOSTO-16)</vt:lpstr>
      <vt:lpstr>SEPT-16</vt:lpstr>
      <vt:lpstr>OCTUBRE-16</vt:lpstr>
      <vt:lpstr>NOVIEMBRE-16 </vt:lpstr>
      <vt:lpstr>DICIEMBRE-16 </vt:lpstr>
      <vt:lpstr>ESTADO DE CUENTA</vt:lpstr>
      <vt:lpstr>'ABRIL-16(1)'!Área_de_impresión</vt:lpstr>
      <vt:lpstr>'AGOSTO-16)'!Área_de_impresión</vt:lpstr>
      <vt:lpstr>'DICIEMBRE-16 '!Área_de_impresión</vt:lpstr>
      <vt:lpstr>'ENERO-16 '!Área_de_impresión</vt:lpstr>
      <vt:lpstr>'ENERO-16  (1)'!Área_de_impresión</vt:lpstr>
      <vt:lpstr>'ESTADO DE CUENTA'!Área_de_impresión</vt:lpstr>
      <vt:lpstr>'FEBRERO-16'!Área_de_impresión</vt:lpstr>
      <vt:lpstr>'FEBRERO-16 (2)'!Área_de_impresión</vt:lpstr>
      <vt:lpstr>'JULIO-16'!Área_de_impresión</vt:lpstr>
      <vt:lpstr>'JUNIO-16'!Área_de_impresión</vt:lpstr>
      <vt:lpstr>'MARZO-16 (1)'!Área_de_impresión</vt:lpstr>
      <vt:lpstr>'MAYO-16'!Área_de_impresión</vt:lpstr>
      <vt:lpstr>'NOVIEMBRE-16 '!Área_de_impresión</vt:lpstr>
      <vt:lpstr>'OCTUBRE-16'!Área_de_impresión</vt:lpstr>
      <vt:lpstr>'SEPT-16'!Área_de_impresión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2017-01-04T22:47:17Z</cp:lastPrinted>
  <dcterms:created xsi:type="dcterms:W3CDTF">2014-03-03T21:03:38Z</dcterms:created>
  <dcterms:modified xsi:type="dcterms:W3CDTF">2017-02-02T20:38:14Z</dcterms:modified>
</cp:coreProperties>
</file>